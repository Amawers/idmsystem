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IIEe8EAcZOu2HLJpktaDQ2BK/nlAFVF80qCRDrkc/kA="/>
    </ext>
  </extLst>
</workbook>
</file>

<file path=xl/sharedStrings.xml><?xml version="1.0" encoding="utf-8"?>
<sst xmlns="http://schemas.openxmlformats.org/spreadsheetml/2006/main" count="249" uniqueCount="236">
  <si>
    <r>
      <rPr>
        <rFont val="Times New Roman"/>
        <b/>
        <color rgb="FF404040"/>
        <sz val="9.0"/>
      </rPr>
      <t xml:space="preserve">Republic of the Philippines
</t>
    </r>
    <r>
      <rPr>
        <rFont val="Times New Roman"/>
        <b/>
        <color rgb="FF404040"/>
        <sz val="10.0"/>
      </rPr>
      <t xml:space="preserve">Office of the President of the Philippines
</t>
    </r>
    <r>
      <rPr>
        <rFont val="Times New Roman"/>
        <b/>
        <color rgb="FF006FC0"/>
        <sz val="11.0"/>
      </rPr>
      <t>NATIONAL COMMISSION OF SENIOR CITIZENS</t>
    </r>
  </si>
  <si>
    <r>
      <rPr>
        <rFont val="Arial"/>
        <b/>
        <color rgb="FF404040"/>
        <sz val="20.0"/>
      </rPr>
      <t>SENIOR CITIZEN DATA FORM</t>
    </r>
  </si>
  <si>
    <t>\</t>
  </si>
  <si>
    <r>
      <rPr>
        <rFont val="Arial"/>
        <b/>
        <color rgb="FF000000"/>
        <sz val="7.0"/>
      </rPr>
      <t xml:space="preserve">Reference Code:            </t>
    </r>
    <r>
      <rPr>
        <rFont val="Calibri"/>
        <color rgb="FF000000"/>
        <sz val="13.0"/>
      </rPr>
      <t>-</t>
    </r>
  </si>
  <si>
    <r>
      <rPr>
        <rFont val="Arial"/>
        <b/>
        <color theme="1"/>
        <sz val="8.0"/>
      </rPr>
      <t>REGION</t>
    </r>
  </si>
  <si>
    <t>{{REGION}}</t>
  </si>
  <si>
    <r>
      <rPr>
        <rFont val="Arial"/>
        <b/>
        <color theme="1"/>
        <sz val="8.0"/>
      </rPr>
      <t>PROVINCE</t>
    </r>
  </si>
  <si>
    <t>{{PROVINCE}}</t>
  </si>
  <si>
    <r>
      <rPr>
        <rFont val="Arial"/>
        <b/>
        <color theme="1"/>
        <sz val="7.0"/>
      </rPr>
      <t>CITY/MUNICIPALITY</t>
    </r>
  </si>
  <si>
    <t>{{CITY_MUNICIPALITY}}</t>
  </si>
  <si>
    <r>
      <rPr>
        <rFont val="Arial"/>
        <b/>
        <color theme="1"/>
        <sz val="8.0"/>
      </rPr>
      <t>BARANGAY</t>
    </r>
  </si>
  <si>
    <t>{{BARANGAY}}</t>
  </si>
  <si>
    <r>
      <rPr>
        <rFont val="Arial"/>
        <b/>
        <color rgb="FFFFFFFF"/>
        <sz val="8.0"/>
      </rPr>
      <t>I. IDENTIFYING INFORMATION</t>
    </r>
  </si>
  <si>
    <r>
      <rPr>
        <rFont val="Arial"/>
        <b/>
        <color theme="1"/>
        <sz val="8.0"/>
      </rPr>
      <t>1. Name of Senior Citizen</t>
    </r>
  </si>
  <si>
    <t>{{SENIOR_LAST_NAME}}</t>
  </si>
  <si>
    <t>{{SENIOR_FIRST_NAME}}</t>
  </si>
  <si>
    <t>{{SENIOR_MIDDLE_NAME}}</t>
  </si>
  <si>
    <r>
      <rPr>
        <rFont val="Arial"/>
        <i/>
        <color theme="1"/>
        <sz val="8.0"/>
        <vertAlign val="superscript"/>
      </rPr>
      <t xml:space="preserve">Last Name                                  </t>
    </r>
    <r>
      <rPr>
        <rFont val="Arial"/>
        <i/>
        <color theme="1"/>
        <sz val="8.0"/>
      </rPr>
      <t>First Name                             Middle Name                    Extension (Jr,Sr)</t>
    </r>
  </si>
  <si>
    <r>
      <rPr>
        <rFont val="Arial"/>
        <b/>
        <color theme="1"/>
        <sz val="8.0"/>
      </rPr>
      <t>2. Address</t>
    </r>
  </si>
  <si>
    <t>Region                                      Province                                                      City/Municipality                                  Barangay</t>
  </si>
  <si>
    <r>
      <rPr>
        <rFont val="Arial"/>
        <b/>
        <color theme="1"/>
        <sz val="8.0"/>
      </rPr>
      <t>3. Date of Birth</t>
    </r>
  </si>
  <si>
    <t>{{DATE_OF_BIRTH}}</t>
  </si>
  <si>
    <r>
      <rPr>
        <rFont val="Arial"/>
        <b/>
        <color theme="1"/>
        <sz val="8.0"/>
      </rPr>
      <t>4. Place of Birth</t>
    </r>
  </si>
  <si>
    <t>{{PLACE_OF_BIRTH}}</t>
  </si>
  <si>
    <r>
      <rPr>
        <rFont val="Arial"/>
        <b/>
        <color theme="1"/>
        <sz val="8.0"/>
      </rPr>
      <t>6. Marital Status</t>
    </r>
  </si>
  <si>
    <t xml:space="preserve"> {{MARITAL_STATUS}}</t>
  </si>
  <si>
    <r>
      <rPr>
        <rFont val="Arial"/>
        <b/>
        <color theme="1"/>
        <sz val="8.0"/>
      </rPr>
      <t>7. Contact Number</t>
    </r>
  </si>
  <si>
    <t>{{CONTACT_NUMBER}}</t>
  </si>
  <si>
    <r>
      <rPr>
        <rFont val="Arial"/>
        <b/>
        <color theme="1"/>
        <sz val="8.0"/>
      </rPr>
      <t>8. Email Address</t>
    </r>
  </si>
  <si>
    <t>{{EMAIL_ADDRESS}}</t>
  </si>
  <si>
    <r>
      <rPr>
        <rFont val="Arial"/>
        <b/>
        <color theme="1"/>
        <sz val="8.0"/>
      </rPr>
      <t>9. Messenger</t>
    </r>
  </si>
  <si>
    <r>
      <rPr>
        <rFont val="Arial"/>
        <b/>
        <color theme="1"/>
        <sz val="8.0"/>
      </rPr>
      <t>10. Religion</t>
    </r>
  </si>
  <si>
    <t>{{RELIGION}}</t>
  </si>
  <si>
    <r>
      <rPr>
        <rFont val="Arial"/>
        <b/>
        <color theme="1"/>
        <sz val="8.0"/>
      </rPr>
      <t>11. Ethnic Origin</t>
    </r>
  </si>
  <si>
    <t>{{ETHNIC_ORIGIN}}</t>
  </si>
  <si>
    <r>
      <rPr>
        <rFont val="Arial"/>
        <b/>
        <color theme="1"/>
        <sz val="8.0"/>
      </rPr>
      <t>12. Language Spoken / Written</t>
    </r>
  </si>
  <si>
    <t>{{LANGUAGE_SPOKEN_WRITTEN}}</t>
  </si>
  <si>
    <r>
      <rPr>
        <rFont val="Arial"/>
        <b/>
        <color rgb="FF000000"/>
        <sz val="8.0"/>
      </rPr>
      <t xml:space="preserve">13. OSCA ID
</t>
    </r>
    <r>
      <rPr>
        <rFont val="Arial"/>
        <b/>
        <color rgb="FF000000"/>
        <sz val="8.0"/>
      </rPr>
      <t>Number</t>
    </r>
  </si>
  <si>
    <t>{{OSCA_ID_NUMBER}}</t>
  </si>
  <si>
    <r>
      <rPr>
        <rFont val="Arial"/>
        <b/>
        <color theme="1"/>
        <sz val="8.0"/>
      </rPr>
      <t>14. GSIS/SSS</t>
    </r>
  </si>
  <si>
    <t>{{GSIS}}</t>
  </si>
  <si>
    <r>
      <rPr>
        <rFont val="Arial"/>
        <b/>
        <color theme="1"/>
        <sz val="8.0"/>
      </rPr>
      <t>15. TIN</t>
    </r>
  </si>
  <si>
    <t>{{TIN}}</t>
  </si>
  <si>
    <r>
      <rPr>
        <rFont val="Arial"/>
        <b/>
        <color theme="1"/>
        <sz val="8.0"/>
      </rPr>
      <t>16. Philhealth</t>
    </r>
  </si>
  <si>
    <t>{{PHILHEALTH}}</t>
  </si>
  <si>
    <r>
      <rPr>
        <rFont val="Arial"/>
        <b/>
        <color theme="1"/>
        <sz val="7.0"/>
      </rPr>
      <t>17. SC Association / Org ID No.</t>
    </r>
  </si>
  <si>
    <t>{{SC_ASSOCIATION}}</t>
  </si>
  <si>
    <r>
      <rPr>
        <rFont val="Arial"/>
        <b/>
        <color theme="1"/>
        <sz val="8.0"/>
      </rPr>
      <t>18. Other Gov't. ID</t>
    </r>
  </si>
  <si>
    <t>{{OTHER_GOV_ID}}</t>
  </si>
  <si>
    <r>
      <rPr>
        <rFont val="Arial"/>
        <b/>
        <color theme="1"/>
        <sz val="8.0"/>
      </rPr>
      <t>19. Capability to Travel</t>
    </r>
  </si>
  <si>
    <t xml:space="preserve">
{{CAPABILITY_TO_TRAVEL}}</t>
  </si>
  <si>
    <r>
      <rPr>
        <rFont val="Arial"/>
        <b/>
        <color theme="1"/>
        <sz val="8.0"/>
      </rPr>
      <t>20. Service/ Business/ Employment (specify)</t>
    </r>
  </si>
  <si>
    <t>{{SERVICE_BUSINESS_EMPLOYMENT}}</t>
  </si>
  <si>
    <r>
      <rPr>
        <rFont val="Arial"/>
        <b/>
        <color rgb="FF000000"/>
        <sz val="8.0"/>
      </rPr>
      <t xml:space="preserve">21. Current Pension
</t>
    </r>
    <r>
      <rPr>
        <rFont val="Arial"/>
        <b/>
        <i/>
        <color rgb="FF000000"/>
        <sz val="8.0"/>
      </rPr>
      <t>(specify)</t>
    </r>
  </si>
  <si>
    <t xml:space="preserve"> {{CURRENT_PENSION}}</t>
  </si>
  <si>
    <r>
      <rPr>
        <rFont val="Arial"/>
        <b/>
        <color rgb="FFFFFFFF"/>
        <sz val="8.0"/>
      </rPr>
      <t>II. FAMILY COMPOSITION</t>
    </r>
  </si>
  <si>
    <r>
      <rPr>
        <rFont val="Arial"/>
        <b/>
        <color theme="1"/>
        <sz val="8.0"/>
      </rPr>
      <t>22. Name of Spouse</t>
    </r>
  </si>
  <si>
    <t>{{SPOUSE_LAST_NAME}}</t>
  </si>
  <si>
    <t>{{SPOUSE_FIRST_NAME}}</t>
  </si>
  <si>
    <t>{{SPOUSE_MIDDLE_NAME}}</t>
  </si>
  <si>
    <t>Last Name</t>
  </si>
  <si>
    <t>First Name</t>
  </si>
  <si>
    <t xml:space="preserve">Middle Name </t>
  </si>
  <si>
    <t>Extension (Jr,Sr)</t>
  </si>
  <si>
    <t>23. Father's Name</t>
  </si>
  <si>
    <t>{{FATHER_LAST_NAME}}</t>
  </si>
  <si>
    <t>{{FATHER_FIRST_NAME}}</t>
  </si>
  <si>
    <t>{{FATHER_MIDDLE_NAME}}</t>
  </si>
  <si>
    <t>23. Mother's Maiden Name</t>
  </si>
  <si>
    <t>{{MOTHER_MAIDEN_LAST_NAME}}</t>
  </si>
  <si>
    <t>{{MOTHER_MAIDEN_FIRST_NAME}}</t>
  </si>
  <si>
    <t>{{MOTHER_MAIDEN_MIDDLE_NAME}}</t>
  </si>
  <si>
    <r>
      <rPr>
        <rFont val="Arial"/>
        <b/>
        <color theme="1"/>
        <sz val="8.0"/>
      </rPr>
      <t>25. Child(ren)</t>
    </r>
  </si>
  <si>
    <t>Full name</t>
  </si>
  <si>
    <t xml:space="preserve">Occupation </t>
  </si>
  <si>
    <t>Income</t>
  </si>
  <si>
    <t>Age</t>
  </si>
  <si>
    <t>Working/Not Working</t>
  </si>
  <si>
    <t>{{CHILD_1_NAME}}</t>
  </si>
  <si>
    <t>{{CHILD_1_OCCUPATION}}</t>
  </si>
  <si>
    <t>{{CHILD_1_INCOME}}</t>
  </si>
  <si>
    <t>{{CHILD_1_AGE}}</t>
  </si>
  <si>
    <t>{{CHILD_1_WORKING_STATUS}}</t>
  </si>
  <si>
    <t>{{CHILD_2_NAME}}</t>
  </si>
  <si>
    <t>{{CHILD_2_OCCUPATION}}</t>
  </si>
  <si>
    <t>{{CHILD_2_INCOME}}</t>
  </si>
  <si>
    <t>{{CHILD_2_AGE}}</t>
  </si>
  <si>
    <t>{{CHILD_2_WORKING_STATUS}}</t>
  </si>
  <si>
    <t>{{CHILD_3_NAME}}</t>
  </si>
  <si>
    <t>{{CHILD_3_OCCUPATION}}</t>
  </si>
  <si>
    <t>{{CHILD_3_INCOME}}</t>
  </si>
  <si>
    <t>{{CHILD_3_AGE}}</t>
  </si>
  <si>
    <t>{{CHILD_3_WORKING_STATUS}}</t>
  </si>
  <si>
    <t>{{CHILD_4_NAME}}</t>
  </si>
  <si>
    <t>{{CHILD_4_OCCUPATION}}</t>
  </si>
  <si>
    <t>{{CHILD_4_INCOME}}</t>
  </si>
  <si>
    <t>{{CHILD_4_AGE}}</t>
  </si>
  <si>
    <t>{{CHILD_4_WORKING_STATUS}}</t>
  </si>
  <si>
    <r>
      <rPr>
        <rFont val="Arial"/>
        <b/>
        <color theme="1"/>
        <sz val="6.0"/>
      </rPr>
      <t>25.A Other Dependents</t>
    </r>
  </si>
  <si>
    <t>{{OTHER_DEPENDENTS}}</t>
  </si>
  <si>
    <t>III. EDUCATION / HR PROFILE</t>
  </si>
  <si>
    <r>
      <rPr>
        <rFont val="Arial"/>
        <b/>
        <color theme="1"/>
        <sz val="8.0"/>
      </rPr>
      <t>28. Educational Attainment</t>
    </r>
  </si>
  <si>
    <r>
      <rPr>
        <rFont val="Arial"/>
        <b/>
        <color rgb="FF000000"/>
        <sz val="8.0"/>
      </rPr>
      <t xml:space="preserve">29. Areas of Specialization / Technical Skills </t>
    </r>
    <r>
      <rPr>
        <rFont val="Arial"/>
        <b/>
        <i/>
        <color rgb="FF000000"/>
        <sz val="8.0"/>
      </rPr>
      <t>(Check all applicable)</t>
    </r>
  </si>
  <si>
    <t>1 Elementary Level</t>
  </si>
  <si>
    <t>2 Elementary Graduate</t>
  </si>
  <si>
    <r>
      <rPr>
        <rFont val="Arial MT"/>
        <color theme="1"/>
        <sz val="8.0"/>
      </rPr>
      <t>3 High School Level</t>
    </r>
  </si>
  <si>
    <t>1 Medical</t>
  </si>
  <si>
    <t>2 Teaching</t>
  </si>
  <si>
    <t>3 Legal Services</t>
  </si>
  <si>
    <t>{{EDUCATIONAL_ATTAINMENT}}</t>
  </si>
  <si>
    <t>4 High School Graduate</t>
  </si>
  <si>
    <t>5 College Level</t>
  </si>
  <si>
    <r>
      <rPr>
        <rFont val="Arial MT"/>
        <color theme="1"/>
        <sz val="8.0"/>
      </rPr>
      <t>6 College Graduate</t>
    </r>
  </si>
  <si>
    <t>4 Dental</t>
  </si>
  <si>
    <t>5 Counseling</t>
  </si>
  <si>
    <t>6 Farming</t>
  </si>
  <si>
    <t>{{TECHNICAL_SKILLS}}</t>
  </si>
  <si>
    <t>7 Post Graduate</t>
  </si>
  <si>
    <t>8 Vocational</t>
  </si>
  <si>
    <r>
      <rPr>
        <rFont val="Arial MT"/>
        <color theme="1"/>
        <sz val="8.0"/>
      </rPr>
      <t>9 Not Attended School</t>
    </r>
  </si>
  <si>
    <t>7 Fishing</t>
  </si>
  <si>
    <t>8 Cooking</t>
  </si>
  <si>
    <t>9 Arts</t>
  </si>
  <si>
    <t>{{COMMUNITY_SERVICE_INVOLVEMENT}}</t>
  </si>
  <si>
    <r>
      <rPr>
        <rFont val="Arial"/>
        <b/>
        <color theme="1"/>
        <sz val="8.0"/>
      </rPr>
      <t>30. Share Skill (Community Service)</t>
    </r>
  </si>
  <si>
    <t>10 Engineering</t>
  </si>
  <si>
    <t>11 Carpenter</t>
  </si>
  <si>
    <t>12 Plumber</t>
  </si>
  <si>
    <t>{{SOURCE_OF_INCOME_ASSISTANCE}}</t>
  </si>
  <si>
    <t>13 Barber</t>
  </si>
  <si>
    <t>14 Mason</t>
  </si>
  <si>
    <t>15 Sapatero</t>
  </si>
  <si>
    <t>{{ASSETS_REAL_IMMOVABLE}}</t>
  </si>
  <si>
    <t>16 Evangelization</t>
  </si>
  <si>
    <t>17 Tailor</t>
  </si>
  <si>
    <t>18 Chef/Cook</t>
  </si>
  <si>
    <t>{{ASSETS_PERSONAL_MOVABLE}}</t>
  </si>
  <si>
    <t>19 Millwright</t>
  </si>
  <si>
    <t>{{NEEDS_COMMONLY_ENCOUNTERED}}</t>
  </si>
  <si>
    <r>
      <rPr>
        <rFont val="Arial"/>
        <b/>
        <color rgb="FF000000"/>
        <sz val="14.0"/>
      </rPr>
      <t xml:space="preserve">31. Involvement in Community Activities </t>
    </r>
    <r>
      <rPr>
        <rFont val="Arial"/>
        <b/>
        <i/>
        <color rgb="FF000000"/>
        <sz val="14.0"/>
      </rPr>
      <t>(Check all applicable)</t>
    </r>
  </si>
  <si>
    <t>{{MEDICAL_CONCERN}}</t>
  </si>
  <si>
    <t>2 Resource Volunteer</t>
  </si>
  <si>
    <t>3 Community Beautification</t>
  </si>
  <si>
    <t>{{DENTAL_CONCERN}}</t>
  </si>
  <si>
    <t>4 Community / Organization Leader</t>
  </si>
  <si>
    <t>5 Dental</t>
  </si>
  <si>
    <t>6 Friendly Visits</t>
  </si>
  <si>
    <t>{{OPTICAL}}</t>
  </si>
  <si>
    <t>7 Neighborhood Support Services</t>
  </si>
  <si>
    <t>8 Legal Services</t>
  </si>
  <si>
    <t>9 Religious</t>
  </si>
  <si>
    <t>{{HEARING}}</t>
  </si>
  <si>
    <t>10 Counseling / Referral</t>
  </si>
  <si>
    <t>11 Sponsorship</t>
  </si>
  <si>
    <t>{{SOCIAL}}</t>
  </si>
  <si>
    <t>IV. ECONOMIC PROFILE</t>
  </si>
  <si>
    <t>{{DIFFICULTY}}</t>
  </si>
  <si>
    <r>
      <rPr>
        <rFont val="Arial"/>
        <b/>
        <color rgb="FF000000"/>
        <sz val="8.0"/>
      </rPr>
      <t xml:space="preserve">32. Source of Income and Assistance </t>
    </r>
    <r>
      <rPr>
        <rFont val="Arial"/>
        <b/>
        <i/>
        <color rgb="FF000000"/>
        <sz val="8.0"/>
      </rPr>
      <t>(Check all applicable)</t>
    </r>
  </si>
  <si>
    <t>{{SCHEDULED_CHECKUP}}</t>
  </si>
  <si>
    <t>1 Own earnings, salary / wages</t>
  </si>
  <si>
    <t xml:space="preserve"> 2 Own Pension</t>
  </si>
  <si>
    <r>
      <rPr>
        <rFont val="Arial MT"/>
        <color theme="1"/>
        <sz val="8.0"/>
      </rPr>
      <t>3 Stocks / Dividends</t>
    </r>
  </si>
  <si>
    <t>{{CHECKUP_FREQUENCY}}</t>
  </si>
  <si>
    <r>
      <rPr>
        <rFont val="Arial MT"/>
        <color theme="1"/>
        <sz val="8.0"/>
      </rPr>
      <t>4 Dependent on children / relatives</t>
    </r>
  </si>
  <si>
    <t>5 Spouse's salary</t>
  </si>
  <si>
    <r>
      <rPr>
        <rFont val="Arial MT"/>
        <color theme="1"/>
        <sz val="8.0"/>
      </rPr>
      <t>6 Insurance</t>
    </r>
  </si>
  <si>
    <t>7 Spouse's Pension</t>
  </si>
  <si>
    <t>8 Rentals / sharecrops</t>
  </si>
  <si>
    <r>
      <rPr>
        <rFont val="Arial MT"/>
        <color theme="1"/>
        <sz val="8.0"/>
      </rPr>
      <t>9 Savings</t>
    </r>
  </si>
  <si>
    <r>
      <rPr>
        <rFont val="Arial MT"/>
        <color theme="1"/>
        <sz val="8.0"/>
      </rPr>
      <t>10 Livestock / orchard / farm</t>
    </r>
  </si>
  <si>
    <t>11 Fishing</t>
  </si>
  <si>
    <r>
      <rPr>
        <rFont val="Arial"/>
        <b/>
        <color rgb="FF000000"/>
        <sz val="8.0"/>
      </rPr>
      <t xml:space="preserve">33. Assets: Real and Immovable Properties </t>
    </r>
    <r>
      <rPr>
        <rFont val="Arial"/>
        <b/>
        <i/>
        <color rgb="FF000000"/>
        <sz val="8.0"/>
      </rPr>
      <t>(Check all applicable)</t>
    </r>
  </si>
  <si>
    <t>34. Assets: Personal and Movable Properties (Check all applicable)</t>
  </si>
  <si>
    <r>
      <rPr>
        <rFont val="Arial MT"/>
        <color theme="1"/>
        <sz val="8.0"/>
      </rPr>
      <t>1 House</t>
    </r>
  </si>
  <si>
    <t>2 Lot / Farmland</t>
  </si>
  <si>
    <t>Automobile</t>
  </si>
  <si>
    <t>Boats</t>
  </si>
  <si>
    <t>Mobile Phones</t>
  </si>
  <si>
    <t>3 House &amp; Lot</t>
  </si>
  <si>
    <t>4 Commercial Building</t>
  </si>
  <si>
    <t>Motorcycle</t>
  </si>
  <si>
    <t>Heavy Equipment</t>
  </si>
  <si>
    <t>Drones</t>
  </si>
  <si>
    <t>5 Fishpond / resort</t>
  </si>
  <si>
    <t>Laptops</t>
  </si>
  <si>
    <t>Personal Computer</t>
  </si>
  <si>
    <t>35. Problems / Needs Commonly Encountered (Check all applicable)</t>
  </si>
  <si>
    <t>1 Lack of income / resources</t>
  </si>
  <si>
    <t>2 Loss of income / resources</t>
  </si>
  <si>
    <t xml:space="preserve">3 Skills / capability training </t>
  </si>
  <si>
    <t xml:space="preserve">4 Livelihood opportunities </t>
  </si>
  <si>
    <r>
      <rPr>
        <rFont val="Arial"/>
        <b/>
        <color rgb="FFFFFFFF"/>
        <sz val="8.0"/>
      </rPr>
      <t>V. HEALTH PROFILE</t>
    </r>
  </si>
  <si>
    <r>
      <rPr>
        <rFont val="Arial"/>
        <b/>
        <color theme="1"/>
        <sz val="8.0"/>
      </rPr>
      <t>36.A Medical Concern</t>
    </r>
  </si>
  <si>
    <r>
      <rPr>
        <rFont val="Arial"/>
        <b/>
        <color theme="1"/>
        <sz val="8.0"/>
      </rPr>
      <t>36.E  Social / Emotional</t>
    </r>
  </si>
  <si>
    <r>
      <rPr>
        <rFont val="Arial MT"/>
        <color theme="1"/>
        <sz val="8.0"/>
      </rPr>
      <t>Hypertension</t>
    </r>
  </si>
  <si>
    <r>
      <rPr>
        <rFont val="Arial MT"/>
        <color theme="1"/>
        <sz val="8.0"/>
      </rPr>
      <t>Arthritis / Gout</t>
    </r>
  </si>
  <si>
    <r>
      <rPr>
        <rFont val="Arial MT"/>
        <color theme="1"/>
        <sz val="8.0"/>
      </rPr>
      <t>Coronary Heart Disease</t>
    </r>
  </si>
  <si>
    <r>
      <rPr>
        <rFont val="Arial MT"/>
        <color theme="1"/>
        <sz val="8.0"/>
      </rPr>
      <t>Feeling neglect / rejection</t>
    </r>
  </si>
  <si>
    <r>
      <rPr>
        <rFont val="Arial MT"/>
        <color theme="1"/>
        <sz val="8.0"/>
      </rPr>
      <t>Diabetes</t>
    </r>
  </si>
  <si>
    <r>
      <rPr>
        <rFont val="Arial MT"/>
        <color theme="1"/>
        <sz val="8.0"/>
      </rPr>
      <t>Chronic Kidney Disease</t>
    </r>
  </si>
  <si>
    <r>
      <rPr>
        <rFont val="Arial MT"/>
        <color theme="1"/>
        <sz val="8.0"/>
      </rPr>
      <t>Alzheimer's / Dementia</t>
    </r>
  </si>
  <si>
    <r>
      <rPr>
        <rFont val="Arial MT"/>
        <color theme="1"/>
        <sz val="8.0"/>
      </rPr>
      <t>Feeling helplessness / worthlessness</t>
    </r>
  </si>
  <si>
    <r>
      <rPr>
        <rFont val="Arial MT"/>
        <color theme="1"/>
        <sz val="8.0"/>
      </rPr>
      <t>Chronic Obstructive Pulmonary Disease</t>
    </r>
  </si>
  <si>
    <t>Health Problems</t>
  </si>
  <si>
    <r>
      <rPr>
        <rFont val="Arial MT"/>
        <color theme="1"/>
        <sz val="8.0"/>
      </rPr>
      <t>Feeling loneliness / isolate</t>
    </r>
  </si>
  <si>
    <r>
      <rPr>
        <rFont val="Arial"/>
        <b/>
        <color theme="1"/>
        <sz val="8.0"/>
      </rPr>
      <t>36.B Dental Concern</t>
    </r>
  </si>
  <si>
    <r>
      <rPr>
        <rFont val="Arial MT"/>
        <color theme="1"/>
        <sz val="8.0"/>
      </rPr>
      <t>Lack leisure / recreational activities</t>
    </r>
  </si>
  <si>
    <r>
      <rPr>
        <rFont val="Arial MT"/>
        <color theme="1"/>
        <sz val="8.0"/>
      </rPr>
      <t>Needs Dental Care</t>
    </r>
  </si>
  <si>
    <r>
      <rPr>
        <rFont val="Arial MT"/>
        <color theme="1"/>
        <sz val="8.0"/>
      </rPr>
      <t>Lack SC friendly environment</t>
    </r>
  </si>
  <si>
    <r>
      <rPr>
        <rFont val="Arial"/>
        <b/>
        <color theme="1"/>
        <sz val="8.0"/>
      </rPr>
      <t>36.C Optical</t>
    </r>
  </si>
  <si>
    <r>
      <rPr>
        <rFont val="Arial"/>
        <b/>
        <color theme="1"/>
        <sz val="8.0"/>
      </rPr>
      <t>36.F  Area / Difficulty</t>
    </r>
  </si>
  <si>
    <r>
      <rPr>
        <rFont val="Arial MT"/>
        <color theme="1"/>
        <sz val="8.0"/>
      </rPr>
      <t>Eye impairment</t>
    </r>
  </si>
  <si>
    <r>
      <rPr>
        <rFont val="Arial MT"/>
        <color theme="1"/>
        <sz val="8.0"/>
      </rPr>
      <t>High Cost of medicines</t>
    </r>
  </si>
  <si>
    <r>
      <rPr>
        <rFont val="Arial MT"/>
        <color theme="1"/>
        <sz val="8.0"/>
      </rPr>
      <t>Needs eye care</t>
    </r>
  </si>
  <si>
    <r>
      <rPr>
        <rFont val="Arial MT"/>
        <color theme="1"/>
        <sz val="8.0"/>
      </rPr>
      <t>Lack of medicines</t>
    </r>
  </si>
  <si>
    <t>36.D  Hearing</t>
  </si>
  <si>
    <r>
      <rPr>
        <rFont val="Arial MT"/>
        <color theme="1"/>
        <sz val="8.0"/>
      </rPr>
      <t>Lack of medical attention</t>
    </r>
  </si>
  <si>
    <r>
      <rPr>
        <rFont val="Arial MT"/>
        <color theme="1"/>
        <sz val="8.0"/>
      </rPr>
      <t>Aural impairment</t>
    </r>
  </si>
  <si>
    <r>
      <rPr>
        <rFont val="Arial"/>
        <b/>
        <color theme="1"/>
        <sz val="8.0"/>
      </rPr>
      <t>37. List of Medicines for Maintenance</t>
    </r>
  </si>
  <si>
    <t>{{MEDICINES_FOR_MAINTENANCE}}</t>
  </si>
  <si>
    <r>
      <rPr>
        <rFont val="Arial MT"/>
        <color theme="1"/>
        <sz val="8.0"/>
      </rPr>
      <t>38. Do you have a scheduled medical/physical check-up?</t>
    </r>
  </si>
  <si>
    <r>
      <rPr>
        <rFont val="Arial MT"/>
        <color theme="1"/>
        <sz val="8.0"/>
      </rPr>
      <t>Yes</t>
    </r>
  </si>
  <si>
    <t>No</t>
  </si>
  <si>
    <t xml:space="preserve">"This certifies that I have willingly given my personal consent and willfully participated  in the provision of data and  relevant information regarding my person, being part of the establishment of database of Senior Citizens"                                                 "																</t>
  </si>
  <si>
    <t>{{SENIOR_NAME}}</t>
  </si>
  <si>
    <t>Name and Signature of Senior Citizen</t>
  </si>
  <si>
    <t>{{ASSISTING_PERSON}}</t>
  </si>
  <si>
    <t>{{RELATION_TO_SENIOR}}</t>
  </si>
  <si>
    <t xml:space="preserve">Name and Signature of Assisting Person 2 </t>
  </si>
  <si>
    <t>Relationship to Senior Citizen</t>
  </si>
  <si>
    <t>{{INTERVIEWER}}</t>
  </si>
  <si>
    <t>Name of Signature of Interviewer/Verifier                                                                                    </t>
  </si>
  <si>
    <t>Date of Interview:</t>
  </si>
  <si>
    <t>{{DATE_OF_INTERVIEW}}</t>
  </si>
  <si>
    <t>Place of Interview:                    </t>
  </si>
  <si>
    <t>{{PLACE_OF_INTERVIEW}}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</si>
</sst>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Times New Roman"/>
      <scheme val="minor"/>
    </font>
    <font>
      <sz val="10.0"/>
      <color rgb="FF000000"/>
      <name val="Times New Roman"/>
    </font>
    <font/>
    <font>
      <b/>
      <sz val="20.0"/>
      <color theme="1"/>
      <name val="Arial"/>
    </font>
    <font>
      <sz val="11.0"/>
      <color rgb="FF000000"/>
      <name val="Times New Roman"/>
    </font>
    <font>
      <b/>
      <sz val="8.0"/>
      <color theme="1"/>
      <name val="Arial"/>
    </font>
    <font>
      <b/>
      <sz val="7.0"/>
      <color theme="1"/>
      <name val="Arial"/>
    </font>
    <font>
      <i/>
      <sz val="8.0"/>
      <color theme="1"/>
      <name val="Arial"/>
    </font>
    <font>
      <sz val="8.0"/>
      <color theme="1"/>
      <name val="Arial"/>
    </font>
    <font>
      <color theme="1"/>
      <name val="Times New Roman"/>
      <scheme val="minor"/>
    </font>
    <font>
      <sz val="9.0"/>
      <color rgb="FF000000"/>
      <name val="Times New Roman"/>
    </font>
    <font>
      <b/>
      <sz val="6.0"/>
      <color theme="1"/>
      <name val="Arial"/>
    </font>
    <font>
      <b/>
      <sz val="8.0"/>
      <color rgb="FFFFFFFF"/>
      <name val="Arial"/>
    </font>
    <font>
      <sz val="8.0"/>
      <color rgb="FF000000"/>
      <name val="Arial"/>
    </font>
    <font>
      <sz val="14.0"/>
      <color rgb="FF000000"/>
      <name val="Times New Roman"/>
    </font>
    <font>
      <b/>
      <sz val="8.0"/>
      <color rgb="FF000000"/>
      <name val="Arial"/>
    </font>
    <font>
      <sz val="8.0"/>
      <color theme="1"/>
      <name val="Times New Roman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AEDF3"/>
        <bgColor rgb="FFDAEDF3"/>
      </patternFill>
    </fill>
    <fill>
      <patternFill patternType="solid">
        <fgColor rgb="FF234061"/>
        <bgColor rgb="FF234061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001F5F"/>
        <bgColor rgb="FF001F5F"/>
      </patternFill>
    </fill>
    <fill>
      <patternFill patternType="solid">
        <fgColor rgb="FFB7DEE8"/>
        <bgColor rgb="FFB7DEE8"/>
      </patternFill>
    </fill>
    <fill>
      <patternFill patternType="solid">
        <fgColor rgb="FFA6A6A6"/>
        <bgColor rgb="FFA6A6A6"/>
      </patternFill>
    </fill>
  </fills>
  <borders count="3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BFBFBF"/>
      </right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000000"/>
      </right>
      <top style="thin">
        <color rgb="FFBFBFBF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BFBFBF"/>
      </right>
      <bottom style="thin">
        <color rgb="FF000000"/>
      </bottom>
    </border>
    <border>
      <right style="thin">
        <color rgb="FFBFBFB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FBFBF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FBFBF"/>
      </left>
      <top/>
      <bottom style="thin">
        <color rgb="FFBFBFBF"/>
      </bottom>
    </border>
    <border>
      <top/>
      <bottom style="thin">
        <color rgb="FFBFBFBF"/>
      </bottom>
    </border>
    <border>
      <right style="thin">
        <color rgb="FF000000"/>
      </right>
      <top/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BFBFBF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4" fillId="0" fontId="3" numFmtId="0" xfId="0" applyAlignment="1" applyBorder="1" applyFont="1">
      <alignment horizontal="center" shrinkToFit="0" vertical="top" wrapText="1"/>
    </xf>
    <xf borderId="5" fillId="0" fontId="2" numFmtId="0" xfId="0" applyAlignment="1" applyBorder="1" applyFont="1">
      <alignment horizontal="left" vertical="top"/>
    </xf>
    <xf borderId="6" fillId="0" fontId="4" numFmtId="0" xfId="0" applyAlignment="1" applyBorder="1" applyFont="1">
      <alignment horizontal="left" readingOrder="0" shrinkToFit="0" vertical="top" wrapText="1"/>
    </xf>
    <xf borderId="7" fillId="0" fontId="2" numFmtId="0" xfId="0" applyAlignment="1" applyBorder="1" applyFont="1">
      <alignment horizontal="left" vertical="top"/>
    </xf>
    <xf borderId="8" fillId="0" fontId="2" numFmtId="0" xfId="0" applyAlignment="1" applyBorder="1" applyFont="1">
      <alignment horizontal="left" vertical="top"/>
    </xf>
    <xf borderId="9" fillId="0" fontId="1" numFmtId="0" xfId="0" applyAlignment="1" applyBorder="1" applyFont="1">
      <alignment horizontal="left" shrinkToFit="0" vertical="top" wrapText="1"/>
    </xf>
    <xf borderId="10" fillId="0" fontId="2" numFmtId="0" xfId="0" applyAlignment="1" applyBorder="1" applyFont="1">
      <alignment horizontal="left" vertical="top"/>
    </xf>
    <xf borderId="11" fillId="0" fontId="1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left" vertical="top"/>
    </xf>
    <xf borderId="13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14" fillId="0" fontId="2" numFmtId="0" xfId="0" applyAlignment="1" applyBorder="1" applyFont="1">
      <alignment horizontal="left" vertical="top"/>
    </xf>
    <xf borderId="15" fillId="0" fontId="2" numFmtId="0" xfId="0" applyAlignment="1" applyBorder="1" applyFont="1">
      <alignment horizontal="left" vertical="top"/>
    </xf>
    <xf borderId="13" fillId="2" fontId="5" numFmtId="0" xfId="0" applyAlignment="1" applyBorder="1" applyFill="1" applyFont="1">
      <alignment horizontal="left" shrinkToFit="0" vertical="top" wrapText="1"/>
    </xf>
    <xf borderId="11" fillId="0" fontId="1" numFmtId="0" xfId="0" applyAlignment="1" applyBorder="1" applyFont="1">
      <alignment horizontal="left" readingOrder="0" shrinkToFit="0" vertical="bottom" wrapText="1"/>
    </xf>
    <xf borderId="16" fillId="0" fontId="2" numFmtId="0" xfId="0" applyAlignment="1" applyBorder="1" applyFont="1">
      <alignment horizontal="left" vertical="top"/>
    </xf>
    <xf borderId="13" fillId="2" fontId="6" numFmtId="0" xfId="0" applyAlignment="1" applyBorder="1" applyFont="1">
      <alignment horizontal="left" shrinkToFit="0" vertical="top" wrapText="1"/>
    </xf>
    <xf borderId="9" fillId="0" fontId="2" numFmtId="0" xfId="0" applyAlignment="1" applyBorder="1" applyFont="1">
      <alignment horizontal="left" vertical="top"/>
    </xf>
    <xf borderId="17" fillId="0" fontId="2" numFmtId="0" xfId="0" applyAlignment="1" applyBorder="1" applyFont="1">
      <alignment horizontal="left" vertical="top"/>
    </xf>
    <xf borderId="18" fillId="0" fontId="2" numFmtId="0" xfId="0" applyAlignment="1" applyBorder="1" applyFont="1">
      <alignment horizontal="left" vertical="top"/>
    </xf>
    <xf borderId="11" fillId="3" fontId="5" numFmtId="0" xfId="0" applyAlignment="1" applyBorder="1" applyFill="1" applyFont="1">
      <alignment horizontal="left" shrinkToFit="0" vertical="top" wrapText="1"/>
    </xf>
    <xf borderId="19" fillId="0" fontId="2" numFmtId="0" xfId="0" applyAlignment="1" applyBorder="1" applyFont="1">
      <alignment horizontal="left" vertical="top"/>
    </xf>
    <xf borderId="20" fillId="2" fontId="5" numFmtId="0" xfId="0" applyAlignment="1" applyBorder="1" applyFont="1">
      <alignment horizontal="left" shrinkToFit="0" vertical="top" wrapText="1"/>
    </xf>
    <xf borderId="16" fillId="0" fontId="1" numFmtId="0" xfId="0" applyAlignment="1" applyBorder="1" applyFont="1">
      <alignment horizontal="left" readingOrder="0" shrinkToFit="0" vertical="bottom" wrapText="1"/>
    </xf>
    <xf borderId="13" fillId="0" fontId="1" numFmtId="0" xfId="0" applyAlignment="1" applyBorder="1" applyFont="1">
      <alignment horizontal="left" readingOrder="0" shrinkToFit="0" vertical="bottom" wrapText="1"/>
    </xf>
    <xf borderId="11" fillId="0" fontId="1" numFmtId="0" xfId="0" applyAlignment="1" applyBorder="1" applyFont="1">
      <alignment horizontal="left" shrinkToFit="0" vertical="bottom" wrapText="1"/>
    </xf>
    <xf borderId="21" fillId="4" fontId="1" numFmtId="0" xfId="0" applyAlignment="1" applyBorder="1" applyFill="1" applyFont="1">
      <alignment horizontal="left" shrinkToFit="0" vertical="bottom" wrapText="1"/>
    </xf>
    <xf borderId="22" fillId="0" fontId="2" numFmtId="0" xfId="0" applyAlignment="1" applyBorder="1" applyFont="1">
      <alignment horizontal="left" vertical="top"/>
    </xf>
    <xf borderId="23" fillId="0" fontId="2" numFmtId="0" xfId="0" applyAlignment="1" applyBorder="1" applyFont="1">
      <alignment horizontal="left" vertical="top"/>
    </xf>
    <xf borderId="24" fillId="0" fontId="2" numFmtId="0" xfId="0" applyAlignment="1" applyBorder="1" applyFont="1">
      <alignment horizontal="left" vertical="top"/>
    </xf>
    <xf borderId="11" fillId="2" fontId="7" numFmtId="0" xfId="0" applyAlignment="1" applyBorder="1" applyFont="1">
      <alignment horizontal="left" shrinkToFit="0" vertical="top" wrapText="1"/>
    </xf>
    <xf borderId="25" fillId="2" fontId="1" numFmtId="0" xfId="0" applyAlignment="1" applyBorder="1" applyFont="1">
      <alignment horizontal="left" shrinkToFit="0" vertical="bottom" wrapText="1"/>
    </xf>
    <xf borderId="26" fillId="0" fontId="2" numFmtId="0" xfId="0" applyAlignment="1" applyBorder="1" applyFont="1">
      <alignment horizontal="left" vertical="top"/>
    </xf>
    <xf borderId="27" fillId="0" fontId="2" numFmtId="0" xfId="0" applyAlignment="1" applyBorder="1" applyFont="1">
      <alignment horizontal="left" vertical="top"/>
    </xf>
    <xf borderId="28" fillId="2" fontId="1" numFmtId="0" xfId="0" applyAlignment="1" applyBorder="1" applyFont="1">
      <alignment horizontal="left" shrinkToFit="0" vertical="top" wrapText="1"/>
    </xf>
    <xf borderId="29" fillId="0" fontId="2" numFmtId="0" xfId="0" applyAlignment="1" applyBorder="1" applyFont="1">
      <alignment horizontal="left" vertical="top"/>
    </xf>
    <xf borderId="11" fillId="2" fontId="7" numFmtId="0" xfId="0" applyAlignment="1" applyBorder="1" applyFont="1">
      <alignment horizontal="left" readingOrder="0" shrinkToFit="0" vertical="top" wrapText="1"/>
    </xf>
    <xf borderId="16" fillId="0" fontId="1" numFmtId="0" xfId="0" applyAlignment="1" applyBorder="1" applyFont="1">
      <alignment horizontal="left" shrinkToFit="0" vertical="bottom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ont="1">
      <alignment horizontal="left" shrinkToFit="0" vertical="top" wrapText="1"/>
    </xf>
    <xf borderId="4" fillId="0" fontId="2" numFmtId="0" xfId="0" applyAlignment="1" applyBorder="1" applyFont="1">
      <alignment horizontal="left" vertical="top"/>
    </xf>
    <xf borderId="11" fillId="0" fontId="1" numFmtId="0" xfId="0" applyAlignment="1" applyBorder="1" applyFont="1">
      <alignment horizontal="left" readingOrder="0" shrinkToFit="0" vertical="center" wrapText="1"/>
    </xf>
    <xf borderId="11" fillId="2" fontId="5" numFmtId="0" xfId="0" applyAlignment="1" applyBorder="1" applyFont="1">
      <alignment horizontal="left" shrinkToFit="0" vertical="top" wrapText="1"/>
    </xf>
    <xf borderId="13" fillId="2" fontId="1" numFmtId="0" xfId="0" applyAlignment="1" applyBorder="1" applyFont="1">
      <alignment horizontal="left" shrinkToFit="0" vertical="top" wrapText="1"/>
    </xf>
    <xf borderId="11" fillId="0" fontId="8" numFmtId="0" xfId="0" applyAlignment="1" applyBorder="1" applyFont="1">
      <alignment horizontal="left" readingOrder="0" shrinkToFit="0" vertical="top" wrapText="1"/>
    </xf>
    <xf borderId="11" fillId="2" fontId="1" numFmtId="0" xfId="0" applyAlignment="1" applyBorder="1" applyFont="1">
      <alignment horizontal="left" shrinkToFit="0" vertical="top" wrapText="1"/>
    </xf>
    <xf borderId="13" fillId="0" fontId="1" numFmtId="0" xfId="0" applyAlignment="1" applyBorder="1" applyFont="1">
      <alignment horizontal="left" shrinkToFit="0" vertical="bottom" wrapText="1"/>
    </xf>
    <xf borderId="11" fillId="2" fontId="7" numFmtId="0" xfId="0" applyAlignment="1" applyBorder="1" applyFont="1">
      <alignment horizontal="center" readingOrder="0" shrinkToFit="0" vertical="top" wrapText="1"/>
    </xf>
    <xf borderId="16" fillId="2" fontId="7" numFmtId="0" xfId="0" applyAlignment="1" applyBorder="1" applyFont="1">
      <alignment horizontal="center" readingOrder="0" shrinkToFit="0" vertical="top" wrapText="1"/>
    </xf>
    <xf borderId="12" fillId="2" fontId="7" numFmtId="0" xfId="0" applyAlignment="1" applyBorder="1" applyFont="1">
      <alignment horizontal="center" readingOrder="0" shrinkToFit="0" vertical="top" wrapText="1"/>
    </xf>
    <xf borderId="20" fillId="2" fontId="5" numFmtId="0" xfId="0" applyAlignment="1" applyBorder="1" applyFont="1">
      <alignment horizontal="left" readingOrder="0" shrinkToFit="0" vertical="top" wrapText="1"/>
    </xf>
    <xf borderId="11" fillId="2" fontId="1" numFmtId="0" xfId="0" applyAlignment="1" applyBorder="1" applyFont="1">
      <alignment horizontal="center" readingOrder="0" shrinkToFit="0" vertical="top" wrapText="1"/>
    </xf>
    <xf borderId="11" fillId="2" fontId="1" numFmtId="0" xfId="0" applyAlignment="1" applyBorder="1" applyFont="1">
      <alignment horizontal="center" readingOrder="0" shrinkToFit="0" vertical="top" wrapText="1"/>
    </xf>
    <xf borderId="16" fillId="0" fontId="2" numFmtId="0" xfId="0" applyAlignment="1" applyBorder="1" applyFont="1">
      <alignment horizontal="left" vertical="top"/>
    </xf>
    <xf borderId="12" fillId="0" fontId="2" numFmtId="0" xfId="0" applyAlignment="1" applyBorder="1" applyFont="1">
      <alignment horizontal="left" vertical="top"/>
    </xf>
    <xf borderId="17" fillId="5" fontId="9" numFmtId="0" xfId="0" applyAlignment="1" applyBorder="1" applyFill="1" applyFont="1">
      <alignment horizontal="center" readingOrder="0" vertical="top"/>
    </xf>
    <xf borderId="16" fillId="5" fontId="1" numFmtId="0" xfId="0" applyAlignment="1" applyBorder="1" applyFont="1">
      <alignment horizontal="center" readingOrder="0" shrinkToFit="0" vertical="top" wrapText="1"/>
    </xf>
    <xf borderId="12" fillId="5" fontId="1" numFmtId="0" xfId="0" applyAlignment="1" applyBorder="1" applyFont="1">
      <alignment horizontal="center" readingOrder="0" shrinkToFit="0" vertical="top" wrapText="1"/>
    </xf>
    <xf borderId="9" fillId="0" fontId="10" numFmtId="0" xfId="0" applyAlignment="1" applyBorder="1" applyFont="1">
      <alignment horizontal="left" readingOrder="0" shrinkToFit="0" vertical="bottom" wrapText="1"/>
    </xf>
    <xf borderId="11" fillId="0" fontId="10" numFmtId="0" xfId="0" applyAlignment="1" applyBorder="1" applyFont="1">
      <alignment horizontal="left" readingOrder="0" shrinkToFit="0" vertical="bottom" wrapText="1"/>
    </xf>
    <xf borderId="20" fillId="6" fontId="11" numFmtId="0" xfId="0" applyAlignment="1" applyBorder="1" applyFill="1" applyFont="1">
      <alignment horizontal="left" shrinkToFit="0" vertical="top" wrapText="1"/>
    </xf>
    <xf borderId="1" fillId="0" fontId="1" numFmtId="0" xfId="0" applyAlignment="1" applyBorder="1" applyFont="1">
      <alignment horizontal="left" readingOrder="0" shrinkToFit="0" vertical="bottom" wrapText="1"/>
    </xf>
    <xf borderId="11" fillId="3" fontId="12" numFmtId="0" xfId="0" applyAlignment="1" applyBorder="1" applyFont="1">
      <alignment horizontal="left" readingOrder="0" shrinkToFit="0" vertical="top" wrapText="1"/>
    </xf>
    <xf borderId="11" fillId="0" fontId="8" numFmtId="0" xfId="0" applyAlignment="1" applyBorder="1" applyFont="1">
      <alignment horizontal="right" shrinkToFit="0" vertical="top" wrapText="1"/>
    </xf>
    <xf borderId="16" fillId="0" fontId="8" numFmtId="0" xfId="0" applyAlignment="1" applyBorder="1" applyFont="1">
      <alignment horizontal="left" readingOrder="0" shrinkToFit="0" vertical="top" wrapText="1"/>
    </xf>
    <xf borderId="17" fillId="0" fontId="8" numFmtId="0" xfId="0" applyAlignment="1" applyBorder="1" applyFont="1">
      <alignment horizontal="left" readingOrder="0" shrinkToFit="0" vertical="top" wrapText="1"/>
    </xf>
    <xf borderId="12" fillId="0" fontId="8" numFmtId="0" xfId="0" applyAlignment="1" applyBorder="1" applyFont="1">
      <alignment horizontal="left" shrinkToFit="0" vertical="top" wrapText="1"/>
    </xf>
    <xf borderId="11" fillId="0" fontId="8" numFmtId="0" xfId="0" applyAlignment="1" applyBorder="1" applyFont="1">
      <alignment horizontal="left" shrinkToFit="0" vertical="top" wrapText="1"/>
    </xf>
    <xf borderId="0" fillId="0" fontId="9" numFmtId="0" xfId="0" applyAlignment="1" applyFont="1">
      <alignment horizontal="left" readingOrder="0" vertical="top"/>
    </xf>
    <xf borderId="11" fillId="0" fontId="8" numFmtId="0" xfId="0" applyAlignment="1" applyBorder="1" applyFont="1">
      <alignment horizontal="right" readingOrder="0" shrinkToFit="0" vertical="top" wrapText="1"/>
    </xf>
    <xf borderId="2" fillId="0" fontId="8" numFmtId="0" xfId="0" applyAlignment="1" applyBorder="1" applyFont="1">
      <alignment horizontal="left" readingOrder="0" shrinkToFit="0" vertical="top" wrapText="1"/>
    </xf>
    <xf borderId="11" fillId="0" fontId="13" numFmtId="1" xfId="0" applyAlignment="1" applyBorder="1" applyFont="1" applyNumberFormat="1">
      <alignment horizontal="left" shrinkToFit="1" vertical="top" wrapText="0"/>
    </xf>
    <xf borderId="11" fillId="2" fontId="14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right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11" fillId="3" fontId="12" numFmtId="0" xfId="0" applyAlignment="1" applyBorder="1" applyFont="1">
      <alignment horizontal="left" readingOrder="0" shrinkToFit="0" vertical="top" wrapText="1"/>
    </xf>
    <xf borderId="4" fillId="2" fontId="1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horizontal="right" readingOrder="0" shrinkToFit="0" vertical="top" wrapText="1"/>
    </xf>
    <xf borderId="16" fillId="0" fontId="8" numFmtId="0" xfId="0" applyAlignment="1" applyBorder="1" applyFont="1">
      <alignment horizontal="left" shrinkToFit="0" vertical="top" wrapText="1"/>
    </xf>
    <xf borderId="17" fillId="0" fontId="8" numFmtId="0" xfId="0" applyAlignment="1" applyBorder="1" applyFont="1">
      <alignment horizontal="left" shrinkToFit="0" vertical="top" wrapText="1"/>
    </xf>
    <xf borderId="9" fillId="0" fontId="8" numFmtId="0" xfId="0" applyAlignment="1" applyBorder="1" applyFont="1">
      <alignment horizontal="left" shrinkToFit="0" vertical="top" wrapText="1"/>
    </xf>
    <xf borderId="1" fillId="0" fontId="9" numFmtId="0" xfId="0" applyAlignment="1" applyBorder="1" applyFont="1">
      <alignment horizontal="right" vertical="top"/>
    </xf>
    <xf borderId="9" fillId="0" fontId="8" numFmtId="0" xfId="0" applyAlignment="1" applyBorder="1" applyFont="1">
      <alignment horizontal="left" readingOrder="0" shrinkToFit="0" vertical="top" wrapText="1"/>
    </xf>
    <xf borderId="11" fillId="0" fontId="9" numFmtId="0" xfId="0" applyAlignment="1" applyBorder="1" applyFont="1">
      <alignment horizontal="right" vertical="top"/>
    </xf>
    <xf borderId="4" fillId="2" fontId="1" numFmtId="0" xfId="0" applyAlignment="1" applyBorder="1" applyFont="1">
      <alignment horizontal="left" readingOrder="0" shrinkToFit="0" vertical="top" wrapText="1"/>
    </xf>
    <xf borderId="0" fillId="2" fontId="15" numFmtId="0" xfId="0" applyAlignment="1" applyFont="1">
      <alignment horizontal="left" readingOrder="0" shrinkToFit="0" vertical="top" wrapText="1"/>
    </xf>
    <xf borderId="11" fillId="0" fontId="8" numFmtId="0" xfId="0" applyAlignment="1" applyBorder="1" applyFont="1">
      <alignment horizontal="left" readingOrder="0" shrinkToFit="0" vertical="top" wrapText="1"/>
    </xf>
    <xf borderId="16" fillId="0" fontId="8" numFmtId="0" xfId="0" applyAlignment="1" applyBorder="1" applyFont="1">
      <alignment horizontal="left" readingOrder="0" shrinkToFit="0" vertical="top" wrapText="1"/>
    </xf>
    <xf borderId="16" fillId="0" fontId="2" numFmtId="0" xfId="0" applyAlignment="1" applyBorder="1" applyFont="1">
      <alignment horizontal="left" vertical="top"/>
    </xf>
    <xf borderId="12" fillId="0" fontId="2" numFmtId="0" xfId="0" applyAlignment="1" applyBorder="1" applyFont="1">
      <alignment horizontal="left" vertical="top"/>
    </xf>
    <xf borderId="17" fillId="0" fontId="9" numFmtId="0" xfId="0" applyAlignment="1" applyBorder="1" applyFont="1">
      <alignment horizontal="right" readingOrder="0" vertical="top"/>
    </xf>
    <xf borderId="17" fillId="0" fontId="16" numFmtId="0" xfId="0" applyAlignment="1" applyBorder="1" applyFont="1">
      <alignment horizontal="left" readingOrder="0" vertical="top"/>
    </xf>
    <xf borderId="9" fillId="0" fontId="16" numFmtId="0" xfId="0" applyAlignment="1" applyBorder="1" applyFont="1">
      <alignment horizontal="left" readingOrder="0" vertical="top"/>
    </xf>
    <xf borderId="16" fillId="0" fontId="8" numFmtId="0" xfId="0" applyAlignment="1" applyBorder="1" applyFont="1">
      <alignment horizontal="left" readingOrder="0" shrinkToFit="0" vertical="top" wrapText="1"/>
    </xf>
    <xf borderId="9" fillId="0" fontId="8" numFmtId="0" xfId="0" applyAlignment="1" applyBorder="1" applyFont="1">
      <alignment horizontal="left" shrinkToFit="0" vertical="top" wrapText="1"/>
    </xf>
    <xf borderId="17" fillId="0" fontId="8" numFmtId="0" xfId="0" applyAlignment="1" applyBorder="1" applyFont="1">
      <alignment horizontal="left" readingOrder="0" shrinkToFit="0" vertical="top" wrapText="1"/>
    </xf>
    <xf borderId="17" fillId="0" fontId="2" numFmtId="0" xfId="0" applyAlignment="1" applyBorder="1" applyFont="1">
      <alignment horizontal="left" vertical="top"/>
    </xf>
    <xf borderId="10" fillId="0" fontId="2" numFmtId="0" xfId="0" applyAlignment="1" applyBorder="1" applyFont="1">
      <alignment horizontal="left" vertical="top"/>
    </xf>
    <xf borderId="0" fillId="0" fontId="9" numFmtId="0" xfId="0" applyAlignment="1" applyFont="1">
      <alignment horizontal="right" vertical="top"/>
    </xf>
    <xf borderId="1" fillId="2" fontId="15" numFmtId="0" xfId="0" applyAlignment="1" applyBorder="1" applyFont="1">
      <alignment horizontal="left" readingOrder="0" shrinkToFit="0" vertical="top" wrapText="1"/>
    </xf>
    <xf borderId="16" fillId="0" fontId="5" numFmtId="0" xfId="0" applyAlignment="1" applyBorder="1" applyFont="1">
      <alignment horizontal="right" readingOrder="0" shrinkToFit="0" vertical="top" wrapText="1"/>
    </xf>
    <xf borderId="16" fillId="0" fontId="5" numFmtId="0" xfId="0" applyAlignment="1" applyBorder="1" applyFont="1">
      <alignment horizontal="left" readingOrder="0" shrinkToFit="0" vertical="top" wrapText="1"/>
    </xf>
    <xf borderId="16" fillId="0" fontId="5" numFmtId="0" xfId="0" applyAlignment="1" applyBorder="1" applyFont="1">
      <alignment horizontal="right" shrinkToFit="0" vertical="top" wrapText="1"/>
    </xf>
    <xf borderId="4" fillId="0" fontId="5" numFmtId="0" xfId="0" applyAlignment="1" applyBorder="1" applyFont="1">
      <alignment horizontal="right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9" fillId="7" fontId="5" numFmtId="0" xfId="0" applyAlignment="1" applyBorder="1" applyFill="1" applyFont="1">
      <alignment horizontal="left" shrinkToFit="0" vertical="top" wrapText="1"/>
    </xf>
    <xf borderId="11" fillId="6" fontId="5" numFmtId="0" xfId="0" applyAlignment="1" applyBorder="1" applyFont="1">
      <alignment horizontal="left" shrinkToFit="0" vertical="top" wrapText="1"/>
    </xf>
    <xf borderId="2" fillId="0" fontId="9" numFmtId="0" xfId="0" applyAlignment="1" applyBorder="1" applyFont="1">
      <alignment horizontal="right" vertical="top"/>
    </xf>
    <xf borderId="2" fillId="0" fontId="8" numFmtId="0" xfId="0" applyAlignment="1" applyBorder="1" applyFont="1">
      <alignment horizontal="left" shrinkToFit="0" vertical="top" wrapText="1"/>
    </xf>
    <xf borderId="9" fillId="0" fontId="9" numFmtId="0" xfId="0" applyAlignment="1" applyBorder="1" applyFont="1">
      <alignment horizontal="left" vertical="top"/>
    </xf>
    <xf borderId="17" fillId="0" fontId="9" numFmtId="0" xfId="0" applyAlignment="1" applyBorder="1" applyFont="1">
      <alignment horizontal="left" vertical="top"/>
    </xf>
    <xf borderId="1" fillId="6" fontId="5" numFmtId="0" xfId="0" applyAlignment="1" applyBorder="1" applyFont="1">
      <alignment horizontal="left" shrinkToFit="0" vertical="top" wrapText="1"/>
    </xf>
    <xf borderId="16" fillId="0" fontId="8" numFmtId="0" xfId="0" applyAlignment="1" applyBorder="1" applyFont="1">
      <alignment horizontal="left" shrinkToFit="0" vertical="top" wrapText="1"/>
    </xf>
    <xf borderId="11" fillId="0" fontId="9" numFmtId="0" xfId="0" applyAlignment="1" applyBorder="1" applyFont="1">
      <alignment horizontal="left" vertical="top"/>
    </xf>
    <xf borderId="9" fillId="0" fontId="9" numFmtId="0" xfId="0" applyAlignment="1" applyBorder="1" applyFont="1">
      <alignment horizontal="right" vertical="top"/>
    </xf>
    <xf borderId="11" fillId="6" fontId="5" numFmtId="0" xfId="0" applyAlignment="1" applyBorder="1" applyFont="1">
      <alignment horizontal="left" readingOrder="0" shrinkToFit="0" vertical="top" wrapText="1"/>
    </xf>
    <xf borderId="4" fillId="0" fontId="9" numFmtId="0" xfId="0" applyAlignment="1" applyBorder="1" applyFont="1">
      <alignment horizontal="left" vertical="top"/>
    </xf>
    <xf borderId="2" fillId="0" fontId="8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1" fillId="8" fontId="8" numFmtId="0" xfId="0" applyAlignment="1" applyBorder="1" applyFill="1" applyFont="1">
      <alignment horizontal="left" shrinkToFit="0" vertical="top" wrapText="1"/>
    </xf>
    <xf borderId="16" fillId="0" fontId="8" numFmtId="0" xfId="0" applyAlignment="1" applyBorder="1" applyFont="1">
      <alignment horizontal="center" shrinkToFit="0" vertical="top" wrapText="1"/>
    </xf>
    <xf borderId="16" fillId="0" fontId="9" numFmtId="0" xfId="0" applyAlignment="1" applyBorder="1" applyFont="1">
      <alignment horizontal="left" vertical="top"/>
    </xf>
    <xf borderId="16" fillId="0" fontId="1" numFmtId="0" xfId="0" applyAlignment="1" applyBorder="1" applyFont="1">
      <alignment horizontal="left" readingOrder="0" shrinkToFit="0" vertical="center" wrapText="1"/>
    </xf>
    <xf borderId="11" fillId="9" fontId="1" numFmtId="0" xfId="0" applyAlignment="1" applyBorder="1" applyFill="1" applyFont="1">
      <alignment horizontal="left" shrinkToFit="0" vertical="bottom" wrapText="1"/>
    </xf>
    <xf borderId="1" fillId="0" fontId="1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17" fillId="0" fontId="1" numFmtId="0" xfId="0" applyAlignment="1" applyBorder="1" applyFont="1">
      <alignment horizontal="center" readingOrder="0" shrinkToFit="0" vertical="top" wrapText="1"/>
    </xf>
    <xf borderId="14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9" numFmtId="0" xfId="0" applyAlignment="1" applyFont="1">
      <alignment horizontal="center" readingOrder="0" vertical="top"/>
    </xf>
    <xf borderId="2" fillId="0" fontId="1" numFmtId="0" xfId="0" applyAlignment="1" applyBorder="1" applyFont="1">
      <alignment horizontal="center" readingOrder="0" shrinkToFit="0" vertical="bottom" wrapText="1"/>
    </xf>
    <xf borderId="2" fillId="0" fontId="2" numFmtId="0" xfId="0" applyAlignment="1" applyBorder="1" applyFont="1">
      <alignment horizontal="left" vertical="top"/>
    </xf>
    <xf borderId="17" fillId="0" fontId="1" numFmtId="0" xfId="0" applyAlignment="1" applyBorder="1" applyFont="1">
      <alignment horizontal="center" readingOrder="0" shrinkToFit="0" vertical="bottom" wrapText="1"/>
    </xf>
    <xf borderId="17" fillId="0" fontId="9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7" fillId="0" fontId="9" numFmtId="0" xfId="0" applyAlignment="1" applyBorder="1" applyFont="1">
      <alignment horizontal="left" readingOrder="0" vertical="top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0</xdr:rowOff>
    </xdr:from>
    <xdr:ext cx="609600" cy="561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43"/>
    <col customWidth="1" min="2" max="2" width="4.0"/>
    <col customWidth="1" min="3" max="3" width="8.43"/>
    <col customWidth="1" min="4" max="4" width="3.57"/>
    <col customWidth="1" min="5" max="5" width="2.43"/>
    <col customWidth="1" min="6" max="6" width="2.71"/>
    <col customWidth="1" min="7" max="7" width="3.14"/>
    <col customWidth="1" min="8" max="8" width="1.29"/>
    <col customWidth="1" min="9" max="9" width="5.57"/>
    <col customWidth="1" min="10" max="10" width="4.71"/>
    <col customWidth="1" min="11" max="11" width="3.43"/>
    <col customWidth="1" min="12" max="12" width="1.71"/>
    <col customWidth="1" min="13" max="13" width="3.29"/>
    <col customWidth="1" min="14" max="14" width="11.0"/>
    <col customWidth="1" min="15" max="16" width="4.0"/>
    <col customWidth="1" min="17" max="17" width="9.86"/>
    <col customWidth="1" min="18" max="18" width="3.29"/>
    <col customWidth="1" min="19" max="19" width="5.0"/>
    <col customWidth="1" min="20" max="20" width="4.0"/>
    <col customWidth="1" min="21" max="21" width="3.57"/>
    <col customWidth="1" min="22" max="22" width="7.43"/>
    <col customWidth="1" min="23" max="23" width="2.71"/>
    <col customWidth="1" min="24" max="24" width="9.71"/>
    <col customWidth="1" min="25" max="25" width="3.14"/>
    <col customWidth="1" min="26" max="26" width="41.43"/>
  </cols>
  <sheetData>
    <row r="1" ht="4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27.75" customHeight="1">
      <c r="A2" s="4" t="s">
        <v>1</v>
      </c>
      <c r="T2" s="5"/>
      <c r="U2" s="6" t="s">
        <v>2</v>
      </c>
      <c r="V2" s="7"/>
      <c r="W2" s="7"/>
      <c r="X2" s="8"/>
    </row>
    <row r="3" ht="19.5" customHeight="1">
      <c r="A3" s="9" t="s">
        <v>3</v>
      </c>
      <c r="B3" s="10"/>
      <c r="C3" s="11"/>
      <c r="D3" s="12"/>
      <c r="E3" s="13"/>
      <c r="F3" s="13"/>
      <c r="G3" s="11"/>
      <c r="H3" s="12"/>
      <c r="I3" s="13"/>
      <c r="J3" s="13"/>
      <c r="K3" s="13"/>
      <c r="L3" s="13"/>
      <c r="M3" s="14"/>
      <c r="T3" s="5"/>
      <c r="U3" s="15"/>
      <c r="X3" s="16"/>
    </row>
    <row r="4" ht="12.75" customHeight="1">
      <c r="A4" s="17" t="s">
        <v>4</v>
      </c>
      <c r="B4" s="18" t="s">
        <v>5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2"/>
      <c r="N4" s="17" t="s">
        <v>6</v>
      </c>
      <c r="O4" s="18" t="s">
        <v>7</v>
      </c>
      <c r="P4" s="19"/>
      <c r="Q4" s="12"/>
      <c r="R4" s="14"/>
      <c r="T4" s="5"/>
      <c r="U4" s="15"/>
      <c r="X4" s="16"/>
    </row>
    <row r="5" ht="11.25" customHeight="1">
      <c r="A5" s="20" t="s">
        <v>8</v>
      </c>
      <c r="B5" s="18" t="s">
        <v>9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2"/>
      <c r="N5" s="17" t="s">
        <v>10</v>
      </c>
      <c r="O5" s="18" t="s">
        <v>11</v>
      </c>
      <c r="P5" s="19"/>
      <c r="Q5" s="12"/>
      <c r="R5" s="21"/>
      <c r="S5" s="22"/>
      <c r="T5" s="23"/>
      <c r="U5" s="15"/>
      <c r="X5" s="16"/>
    </row>
    <row r="6" ht="13.5" customHeight="1">
      <c r="A6" s="24" t="s">
        <v>12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25"/>
      <c r="U6" s="15"/>
      <c r="X6" s="16"/>
    </row>
    <row r="7" ht="15.75" customHeight="1">
      <c r="A7" s="26" t="s">
        <v>13</v>
      </c>
      <c r="B7" s="18" t="s">
        <v>14</v>
      </c>
      <c r="C7" s="19"/>
      <c r="D7" s="19"/>
      <c r="E7" s="19"/>
      <c r="F7" s="19"/>
      <c r="G7" s="19"/>
      <c r="H7" s="19"/>
      <c r="I7" s="19"/>
      <c r="J7" s="27" t="s">
        <v>15</v>
      </c>
      <c r="K7" s="19"/>
      <c r="L7" s="19"/>
      <c r="M7" s="12"/>
      <c r="N7" s="28" t="s">
        <v>16</v>
      </c>
      <c r="O7" s="29"/>
      <c r="P7" s="19"/>
      <c r="Q7" s="12"/>
      <c r="R7" s="29"/>
      <c r="S7" s="19"/>
      <c r="T7" s="25"/>
      <c r="U7" s="30"/>
      <c r="V7" s="31"/>
      <c r="W7" s="31"/>
      <c r="X7" s="32"/>
    </row>
    <row r="8" ht="11.25" customHeight="1">
      <c r="A8" s="33"/>
      <c r="B8" s="34" t="s">
        <v>17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25"/>
      <c r="U8" s="35"/>
      <c r="V8" s="36"/>
      <c r="W8" s="36"/>
      <c r="X8" s="37"/>
    </row>
    <row r="9" ht="15.75" customHeight="1">
      <c r="A9" s="26" t="s">
        <v>18</v>
      </c>
      <c r="B9" s="18" t="s">
        <v>5</v>
      </c>
      <c r="C9" s="19"/>
      <c r="D9" s="19"/>
      <c r="E9" s="19"/>
      <c r="F9" s="19"/>
      <c r="G9" s="19"/>
      <c r="H9" s="19"/>
      <c r="I9" s="27" t="s">
        <v>7</v>
      </c>
      <c r="J9" s="19"/>
      <c r="K9" s="19"/>
      <c r="L9" s="19"/>
      <c r="M9" s="12"/>
      <c r="N9" s="28" t="s">
        <v>9</v>
      </c>
      <c r="O9" s="18" t="s">
        <v>11</v>
      </c>
      <c r="P9" s="19"/>
      <c r="Q9" s="12"/>
      <c r="R9" s="29"/>
      <c r="S9" s="19"/>
      <c r="T9" s="19"/>
      <c r="U9" s="19"/>
      <c r="V9" s="19"/>
      <c r="W9" s="12"/>
      <c r="X9" s="38"/>
    </row>
    <row r="10" ht="11.25" customHeight="1">
      <c r="A10" s="39"/>
      <c r="B10" s="40" t="s">
        <v>19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2"/>
      <c r="X10" s="39"/>
    </row>
    <row r="11" ht="11.25" customHeight="1">
      <c r="A11" s="33"/>
      <c r="B11" s="2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41"/>
      <c r="O11" s="19"/>
      <c r="P11" s="19"/>
      <c r="Q11" s="12"/>
      <c r="R11" s="29"/>
      <c r="S11" s="19"/>
      <c r="T11" s="19"/>
      <c r="U11" s="19"/>
      <c r="V11" s="19"/>
      <c r="W11" s="12"/>
      <c r="X11" s="33"/>
    </row>
    <row r="12" ht="18.0" customHeight="1">
      <c r="A12" s="26" t="s">
        <v>20</v>
      </c>
      <c r="B12" s="42" t="s">
        <v>21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26" t="s">
        <v>22</v>
      </c>
      <c r="O12" s="42" t="s">
        <v>23</v>
      </c>
      <c r="P12" s="2"/>
      <c r="Q12" s="3"/>
      <c r="R12" s="43" t="s">
        <v>24</v>
      </c>
      <c r="S12" s="2"/>
      <c r="T12" s="3"/>
      <c r="U12" s="42" t="s">
        <v>25</v>
      </c>
      <c r="V12" s="2"/>
      <c r="W12" s="2"/>
      <c r="X12" s="2"/>
    </row>
    <row r="13" ht="12.75" customHeight="1">
      <c r="A13" s="33"/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10"/>
      <c r="N13" s="33"/>
      <c r="O13" s="21"/>
      <c r="P13" s="22"/>
      <c r="Q13" s="10"/>
      <c r="R13" s="21"/>
      <c r="S13" s="22"/>
      <c r="T13" s="10"/>
      <c r="U13" s="44"/>
    </row>
    <row r="14" ht="21.0" customHeight="1">
      <c r="A14" s="17" t="s">
        <v>26</v>
      </c>
      <c r="B14" s="45" t="s">
        <v>27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2"/>
      <c r="N14" s="17" t="s">
        <v>28</v>
      </c>
      <c r="O14" s="45" t="s">
        <v>29</v>
      </c>
      <c r="P14" s="19"/>
      <c r="Q14" s="12"/>
      <c r="R14" s="46" t="s">
        <v>30</v>
      </c>
      <c r="S14" s="19"/>
      <c r="T14" s="12"/>
      <c r="U14" s="11"/>
      <c r="V14" s="19"/>
      <c r="W14" s="19"/>
      <c r="X14" s="12"/>
    </row>
    <row r="15" ht="26.25" customHeight="1">
      <c r="A15" s="17" t="s">
        <v>31</v>
      </c>
      <c r="B15" s="45" t="s">
        <v>32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2"/>
      <c r="N15" s="17" t="s">
        <v>33</v>
      </c>
      <c r="O15" s="45" t="s">
        <v>34</v>
      </c>
      <c r="P15" s="19"/>
      <c r="Q15" s="12"/>
      <c r="R15" s="46" t="s">
        <v>35</v>
      </c>
      <c r="S15" s="19"/>
      <c r="T15" s="12"/>
      <c r="U15" s="45" t="s">
        <v>36</v>
      </c>
      <c r="V15" s="19"/>
      <c r="W15" s="19"/>
      <c r="X15" s="12"/>
    </row>
    <row r="16" ht="30.0" customHeight="1">
      <c r="A16" s="47" t="s">
        <v>37</v>
      </c>
      <c r="B16" s="45" t="s">
        <v>38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2"/>
      <c r="N16" s="17" t="s">
        <v>39</v>
      </c>
      <c r="O16" s="45" t="s">
        <v>40</v>
      </c>
      <c r="P16" s="19"/>
      <c r="Q16" s="12"/>
      <c r="R16" s="46" t="s">
        <v>41</v>
      </c>
      <c r="S16" s="19"/>
      <c r="T16" s="12"/>
      <c r="U16" s="45" t="s">
        <v>42</v>
      </c>
      <c r="V16" s="19"/>
      <c r="W16" s="19"/>
      <c r="X16" s="12"/>
    </row>
    <row r="17" ht="27.0" customHeight="1">
      <c r="A17" s="17" t="s">
        <v>43</v>
      </c>
      <c r="B17" s="45" t="s">
        <v>44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2"/>
      <c r="N17" s="20" t="s">
        <v>45</v>
      </c>
      <c r="O17" s="45" t="s">
        <v>46</v>
      </c>
      <c r="P17" s="19"/>
      <c r="Q17" s="12"/>
      <c r="R17" s="46" t="s">
        <v>47</v>
      </c>
      <c r="S17" s="19"/>
      <c r="T17" s="12"/>
      <c r="U17" s="45" t="s">
        <v>48</v>
      </c>
      <c r="V17" s="19"/>
      <c r="W17" s="19"/>
      <c r="X17" s="12"/>
    </row>
    <row r="18" ht="45.0" customHeight="1">
      <c r="A18" s="17" t="s">
        <v>49</v>
      </c>
      <c r="B18" s="48" t="s">
        <v>50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2"/>
      <c r="N18" s="17" t="s">
        <v>51</v>
      </c>
      <c r="O18" s="45" t="s">
        <v>52</v>
      </c>
      <c r="P18" s="19"/>
      <c r="Q18" s="12"/>
      <c r="R18" s="49" t="s">
        <v>53</v>
      </c>
      <c r="S18" s="19"/>
      <c r="T18" s="12"/>
      <c r="U18" s="45" t="s">
        <v>54</v>
      </c>
      <c r="V18" s="19"/>
      <c r="W18" s="19"/>
      <c r="X18" s="12"/>
    </row>
    <row r="19" ht="19.5" customHeight="1">
      <c r="A19" s="24" t="s">
        <v>55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2"/>
    </row>
    <row r="20" ht="15.75" customHeight="1">
      <c r="A20" s="26" t="s">
        <v>56</v>
      </c>
      <c r="B20" s="18" t="s">
        <v>57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8" t="s">
        <v>58</v>
      </c>
      <c r="O20" s="19"/>
      <c r="P20" s="19"/>
      <c r="Q20" s="12"/>
      <c r="R20" s="18" t="s">
        <v>59</v>
      </c>
      <c r="S20" s="19"/>
      <c r="T20" s="19"/>
      <c r="U20" s="19"/>
      <c r="V20" s="19"/>
      <c r="W20" s="12"/>
      <c r="X20" s="50"/>
    </row>
    <row r="21" ht="11.25" customHeight="1">
      <c r="A21" s="33"/>
      <c r="B21" s="51" t="s">
        <v>60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52" t="s">
        <v>61</v>
      </c>
      <c r="O21" s="19"/>
      <c r="P21" s="19"/>
      <c r="Q21" s="19"/>
      <c r="R21" s="52" t="s">
        <v>62</v>
      </c>
      <c r="S21" s="19"/>
      <c r="T21" s="19"/>
      <c r="U21" s="19"/>
      <c r="V21" s="19"/>
      <c r="W21" s="19"/>
      <c r="X21" s="53" t="s">
        <v>63</v>
      </c>
    </row>
    <row r="22" ht="15.75" customHeight="1">
      <c r="A22" s="54" t="s">
        <v>64</v>
      </c>
      <c r="B22" s="18" t="s">
        <v>65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2"/>
      <c r="N22" s="18" t="s">
        <v>66</v>
      </c>
      <c r="O22" s="19"/>
      <c r="P22" s="19"/>
      <c r="Q22" s="12"/>
      <c r="R22" s="18" t="s">
        <v>67</v>
      </c>
      <c r="S22" s="19"/>
      <c r="T22" s="19"/>
      <c r="U22" s="19"/>
      <c r="V22" s="19"/>
      <c r="W22" s="12"/>
      <c r="X22" s="50"/>
    </row>
    <row r="23" ht="11.25" customHeight="1">
      <c r="A23" s="33"/>
      <c r="B23" s="51" t="s">
        <v>60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52" t="s">
        <v>61</v>
      </c>
      <c r="O23" s="19"/>
      <c r="P23" s="19"/>
      <c r="Q23" s="19"/>
      <c r="R23" s="52" t="s">
        <v>62</v>
      </c>
      <c r="S23" s="19"/>
      <c r="T23" s="19"/>
      <c r="U23" s="19"/>
      <c r="V23" s="19"/>
      <c r="W23" s="19"/>
      <c r="X23" s="53" t="s">
        <v>63</v>
      </c>
    </row>
    <row r="24" ht="21.75" customHeight="1">
      <c r="A24" s="54" t="s">
        <v>68</v>
      </c>
      <c r="B24" s="18" t="s">
        <v>69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2"/>
      <c r="N24" s="18" t="s">
        <v>70</v>
      </c>
      <c r="O24" s="19"/>
      <c r="P24" s="19"/>
      <c r="Q24" s="12"/>
      <c r="R24" s="18" t="s">
        <v>71</v>
      </c>
      <c r="S24" s="19"/>
      <c r="T24" s="19"/>
      <c r="U24" s="19"/>
      <c r="V24" s="19"/>
      <c r="W24" s="19"/>
      <c r="X24" s="12"/>
    </row>
    <row r="25" ht="23.25" customHeight="1">
      <c r="A25" s="33"/>
      <c r="B25" s="51" t="s">
        <v>60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52" t="s">
        <v>61</v>
      </c>
      <c r="O25" s="19"/>
      <c r="P25" s="19"/>
      <c r="Q25" s="19"/>
      <c r="R25" s="52" t="s">
        <v>62</v>
      </c>
      <c r="S25" s="19"/>
      <c r="T25" s="19"/>
      <c r="U25" s="19"/>
      <c r="V25" s="19"/>
      <c r="W25" s="19"/>
      <c r="X25" s="53" t="s">
        <v>63</v>
      </c>
    </row>
    <row r="26" ht="23.25" customHeight="1">
      <c r="A26" s="26" t="s">
        <v>72</v>
      </c>
      <c r="B26" s="55" t="s">
        <v>73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56" t="s">
        <v>74</v>
      </c>
      <c r="P26" s="57"/>
      <c r="Q26" s="58"/>
      <c r="R26" s="59" t="s">
        <v>75</v>
      </c>
      <c r="S26" s="22"/>
      <c r="T26" s="22"/>
      <c r="U26" s="60" t="s">
        <v>76</v>
      </c>
      <c r="V26" s="19"/>
      <c r="W26" s="19"/>
      <c r="X26" s="61" t="s">
        <v>77</v>
      </c>
    </row>
    <row r="27" ht="13.5" customHeight="1">
      <c r="A27" s="39"/>
      <c r="B27" s="18" t="s">
        <v>78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2"/>
      <c r="O27" s="62" t="s">
        <v>79</v>
      </c>
      <c r="P27" s="22"/>
      <c r="Q27" s="10"/>
      <c r="R27" s="63" t="s">
        <v>80</v>
      </c>
      <c r="S27" s="19"/>
      <c r="T27" s="12"/>
      <c r="U27" s="18" t="s">
        <v>81</v>
      </c>
      <c r="V27" s="19"/>
      <c r="W27" s="12"/>
      <c r="X27" s="28" t="s">
        <v>82</v>
      </c>
    </row>
    <row r="28" ht="13.5" customHeight="1">
      <c r="A28" s="39"/>
      <c r="B28" s="18" t="s">
        <v>83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2"/>
      <c r="O28" s="62" t="s">
        <v>84</v>
      </c>
      <c r="P28" s="22"/>
      <c r="Q28" s="10"/>
      <c r="R28" s="63" t="s">
        <v>85</v>
      </c>
      <c r="S28" s="19"/>
      <c r="T28" s="12"/>
      <c r="U28" s="18" t="s">
        <v>86</v>
      </c>
      <c r="V28" s="19"/>
      <c r="W28" s="12"/>
      <c r="X28" s="28" t="s">
        <v>87</v>
      </c>
    </row>
    <row r="29" ht="13.5" customHeight="1">
      <c r="A29" s="39"/>
      <c r="B29" s="18" t="s">
        <v>88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2"/>
      <c r="O29" s="62" t="s">
        <v>89</v>
      </c>
      <c r="P29" s="22"/>
      <c r="Q29" s="10"/>
      <c r="R29" s="63" t="s">
        <v>90</v>
      </c>
      <c r="S29" s="19"/>
      <c r="T29" s="12"/>
      <c r="U29" s="18" t="s">
        <v>91</v>
      </c>
      <c r="V29" s="19"/>
      <c r="W29" s="12"/>
      <c r="X29" s="28" t="s">
        <v>92</v>
      </c>
    </row>
    <row r="30" ht="13.5" customHeight="1">
      <c r="A30" s="33"/>
      <c r="B30" s="18" t="s">
        <v>93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2"/>
      <c r="O30" s="62" t="s">
        <v>94</v>
      </c>
      <c r="P30" s="22"/>
      <c r="Q30" s="10"/>
      <c r="R30" s="63" t="s">
        <v>95</v>
      </c>
      <c r="S30" s="19"/>
      <c r="T30" s="12"/>
      <c r="U30" s="18" t="s">
        <v>96</v>
      </c>
      <c r="V30" s="19"/>
      <c r="W30" s="12"/>
      <c r="X30" s="28" t="s">
        <v>97</v>
      </c>
    </row>
    <row r="31" ht="13.5" customHeight="1">
      <c r="A31" s="64" t="s">
        <v>98</v>
      </c>
      <c r="B31" s="65" t="s">
        <v>99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3"/>
    </row>
    <row r="32" ht="13.5" customHeight="1">
      <c r="A32" s="39"/>
      <c r="B32" s="44"/>
      <c r="X32" s="16"/>
    </row>
    <row r="33" ht="13.5" customHeight="1">
      <c r="A33" s="33"/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10"/>
    </row>
    <row r="34" ht="6.0" customHeight="1">
      <c r="A34" s="2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2"/>
    </row>
    <row r="35" ht="6.0" customHeight="1">
      <c r="A35" s="2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2"/>
    </row>
    <row r="36" ht="11.25" customHeight="1">
      <c r="A36" s="66" t="s">
        <v>100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2"/>
    </row>
    <row r="37" ht="11.25" customHeight="1">
      <c r="A37" s="46" t="s">
        <v>101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2"/>
      <c r="O37" s="49" t="s">
        <v>102</v>
      </c>
      <c r="P37" s="19"/>
      <c r="Q37" s="19"/>
      <c r="R37" s="19"/>
      <c r="S37" s="19"/>
      <c r="T37" s="19"/>
      <c r="U37" s="19"/>
      <c r="V37" s="19"/>
      <c r="W37" s="19"/>
      <c r="X37" s="12"/>
    </row>
    <row r="38" ht="23.25" customHeight="1">
      <c r="A38" s="67" t="str">
        <f>IF(ISNUMBER(SEARCH("Elementary Level",$Z$38)),"☑","☐")</f>
        <v>☐</v>
      </c>
      <c r="B38" s="68" t="s">
        <v>103</v>
      </c>
      <c r="C38" s="12"/>
      <c r="D38" s="48" t="str">
        <f>IF(ISNUMBER(SEARCH("Elementary Graduate",$Z$38)),"☑","☐")</f>
        <v>☐</v>
      </c>
      <c r="E38" s="19"/>
      <c r="F38" s="69" t="s">
        <v>104</v>
      </c>
      <c r="G38" s="22"/>
      <c r="H38" s="22"/>
      <c r="I38" s="22"/>
      <c r="J38" s="22"/>
      <c r="K38" s="22"/>
      <c r="L38" s="22"/>
      <c r="M38" s="68" t="str">
        <f>IF(ISNUMBER(SEARCH("High School Level",$Z$38)),"☑","☐")</f>
        <v>☐</v>
      </c>
      <c r="N38" s="70" t="s">
        <v>105</v>
      </c>
      <c r="O38" s="71" t="str">
        <f>IF(ISNUMBER(SEARCH("Medical",$Z$39)),"☑","☐")</f>
        <v>☐</v>
      </c>
      <c r="P38" s="68" t="s">
        <v>106</v>
      </c>
      <c r="Q38" s="12"/>
      <c r="R38" s="71" t="str">
        <f>IF(ISNUMBER(SEARCH("Teaching",$Z$39)),"☑","☐")</f>
        <v>☐</v>
      </c>
      <c r="S38" s="68" t="s">
        <v>107</v>
      </c>
      <c r="T38" s="12"/>
      <c r="U38" s="71" t="str">
        <f>IF(ISNUMBER(SEARCH("Legal Services",$Z$39)),"☑","☐")</f>
        <v>☐</v>
      </c>
      <c r="V38" s="68" t="s">
        <v>108</v>
      </c>
      <c r="W38" s="19"/>
      <c r="X38" s="12"/>
      <c r="Z38" s="72" t="s">
        <v>109</v>
      </c>
    </row>
    <row r="39" ht="20.25" customHeight="1">
      <c r="A39" s="73" t="str">
        <f>IF(ISNUMBER(SEARCH("High School Graduate",$Z$38)),"☑","☐")</f>
        <v>☐</v>
      </c>
      <c r="B39" s="68" t="s">
        <v>110</v>
      </c>
      <c r="C39" s="12"/>
      <c r="D39" s="48" t="str">
        <f>IF(ISNUMBER(SEARCH("College Level",$Z$38)),"☑","☐")</f>
        <v>☐</v>
      </c>
      <c r="E39" s="19"/>
      <c r="F39" s="68" t="s">
        <v>111</v>
      </c>
      <c r="G39" s="19"/>
      <c r="H39" s="19"/>
      <c r="I39" s="19"/>
      <c r="J39" s="19"/>
      <c r="K39" s="19"/>
      <c r="L39" s="19"/>
      <c r="M39" s="68" t="str">
        <f>IF(ISNUMBER(SEARCH("College Graduate",$Z$38)),"☑","☐")</f>
        <v>☐</v>
      </c>
      <c r="N39" s="70" t="s">
        <v>112</v>
      </c>
      <c r="O39" s="48" t="str">
        <f>IF(ISNUMBER(SEARCH("Dental",$Z$39)),"☑","☐")</f>
        <v>☐</v>
      </c>
      <c r="P39" s="68" t="s">
        <v>113</v>
      </c>
      <c r="Q39" s="12"/>
      <c r="R39" s="71" t="str">
        <f>IF(ISNUMBER(SEARCH("Counselling",$Z$39)),"☑","☐")</f>
        <v>☐</v>
      </c>
      <c r="S39" s="68" t="s">
        <v>114</v>
      </c>
      <c r="T39" s="12"/>
      <c r="U39" s="71" t="str">
        <f>IF(ISNUMBER(SEARCH("Farming",$Z$39)),"☑","☐")</f>
        <v>☐</v>
      </c>
      <c r="V39" s="68" t="s">
        <v>115</v>
      </c>
      <c r="W39" s="19"/>
      <c r="X39" s="12"/>
      <c r="Z39" s="72" t="s">
        <v>116</v>
      </c>
    </row>
    <row r="40" ht="22.5" customHeight="1">
      <c r="A40" s="73" t="str">
        <f>IF(ISNUMBER(SEARCH("Post Graduate",$Z$38)),"☑","☐")</f>
        <v>☐</v>
      </c>
      <c r="B40" s="68" t="s">
        <v>117</v>
      </c>
      <c r="C40" s="12"/>
      <c r="D40" s="48" t="str">
        <f>IF(ISNUMBER(SEARCH("Vocational",$Z$38)),"☑","☐")</f>
        <v>☐</v>
      </c>
      <c r="E40" s="19"/>
      <c r="F40" s="74" t="s">
        <v>118</v>
      </c>
      <c r="G40" s="2"/>
      <c r="H40" s="2"/>
      <c r="I40" s="2"/>
      <c r="J40" s="2"/>
      <c r="K40" s="2"/>
      <c r="L40" s="2"/>
      <c r="M40" s="68" t="str">
        <f>IF(ISNUMBER(SEARCH("Not Attended School",$Z$38)),"☑","☐")</f>
        <v>☐</v>
      </c>
      <c r="N40" s="70" t="s">
        <v>119</v>
      </c>
      <c r="O40" s="71" t="str">
        <f>IF(ISNUMBER(SEARCH("Fishing",$Z$39)),"☑","☐")</f>
        <v>☐</v>
      </c>
      <c r="P40" s="68" t="s">
        <v>120</v>
      </c>
      <c r="Q40" s="12"/>
      <c r="R40" s="71" t="str">
        <f>IF(ISNUMBER(SEARCH("Cooking",$Z$39)),"☑","☐")</f>
        <v>☐</v>
      </c>
      <c r="S40" s="68" t="s">
        <v>121</v>
      </c>
      <c r="T40" s="12"/>
      <c r="U40" s="71" t="str">
        <f>IF(ISNUMBER(SEARCH("Arts",$Z$39)),"☑","☐")</f>
        <v>☐</v>
      </c>
      <c r="V40" s="68" t="s">
        <v>122</v>
      </c>
      <c r="W40" s="19"/>
      <c r="X40" s="12"/>
      <c r="Z40" s="72" t="s">
        <v>123</v>
      </c>
    </row>
    <row r="41" ht="11.25" customHeight="1">
      <c r="A41" s="46" t="s">
        <v>124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2"/>
      <c r="O41" s="71" t="str">
        <f>IF(ISNUMBER(SEARCH("Engineering",$Z$39)),"☑","☐")</f>
        <v>☐</v>
      </c>
      <c r="P41" s="68" t="s">
        <v>125</v>
      </c>
      <c r="Q41" s="12"/>
      <c r="R41" s="71" t="str">
        <f>IF(ISNUMBER(SEARCH("Carpenter",$Z$39)),"☑","☐")</f>
        <v>☐</v>
      </c>
      <c r="S41" s="68" t="s">
        <v>126</v>
      </c>
      <c r="T41" s="12"/>
      <c r="U41" s="71" t="str">
        <f>IF(ISNUMBER(SEARCH("Plumber",$Z$39)),"☑","☐")</f>
        <v>☐</v>
      </c>
      <c r="V41" s="68" t="s">
        <v>127</v>
      </c>
      <c r="W41" s="19"/>
      <c r="X41" s="12"/>
      <c r="Z41" s="72" t="s">
        <v>128</v>
      </c>
    </row>
    <row r="42" ht="15.0" customHeight="1">
      <c r="A42" s="75">
        <v>1.0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2"/>
      <c r="O42" s="71" t="str">
        <f>IF(ISNUMBER(SEARCH("Barber",$Z$39)),"☑","☐")</f>
        <v>☐</v>
      </c>
      <c r="P42" s="68" t="s">
        <v>129</v>
      </c>
      <c r="Q42" s="12"/>
      <c r="R42" s="71" t="str">
        <f>IF(ISNUMBER(SEARCH("Mason",$Z$39)),"☑","☐")</f>
        <v>☐</v>
      </c>
      <c r="S42" s="68" t="s">
        <v>130</v>
      </c>
      <c r="T42" s="12"/>
      <c r="U42" s="71" t="str">
        <f>IF(ISNUMBER(SEARCH("Sapatero",$Z$39)),"☑","☐")</f>
        <v>☐</v>
      </c>
      <c r="V42" s="68" t="s">
        <v>131</v>
      </c>
      <c r="W42" s="19"/>
      <c r="X42" s="12"/>
      <c r="Z42" s="72" t="s">
        <v>132</v>
      </c>
    </row>
    <row r="43" ht="15.0" customHeight="1">
      <c r="A43" s="75">
        <v>2.0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2"/>
      <c r="O43" s="71" t="str">
        <f>IF(ISNUMBER(SEARCH("Evangelization",$Z$39)),"☑","☐")</f>
        <v>☐</v>
      </c>
      <c r="P43" s="68" t="s">
        <v>133</v>
      </c>
      <c r="Q43" s="12"/>
      <c r="R43" s="71" t="str">
        <f>IF(ISNUMBER(SEARCH("Tailor",$Z$39)),"☑","☐")</f>
        <v>☐</v>
      </c>
      <c r="S43" s="68" t="s">
        <v>134</v>
      </c>
      <c r="T43" s="12"/>
      <c r="U43" s="71" t="str">
        <f>IF(ISNUMBER(SEARCH("Chef",$Z$39)),"☑","☐")</f>
        <v>☐</v>
      </c>
      <c r="V43" s="68" t="s">
        <v>135</v>
      </c>
      <c r="W43" s="19"/>
      <c r="X43" s="12"/>
      <c r="Z43" s="72" t="s">
        <v>136</v>
      </c>
    </row>
    <row r="44" ht="15.0" customHeight="1">
      <c r="A44" s="75">
        <v>3.0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2"/>
      <c r="O44" s="71" t="str">
        <f>IF(ISNUMBER(SEARCH("Millwright",$Z$39)),"☑","☐")</f>
        <v>☐</v>
      </c>
      <c r="P44" s="68" t="s">
        <v>137</v>
      </c>
      <c r="Q44" s="12"/>
      <c r="R44" s="48"/>
      <c r="S44" s="19"/>
      <c r="T44" s="19"/>
      <c r="U44" s="19"/>
      <c r="V44" s="19"/>
      <c r="W44" s="19"/>
      <c r="X44" s="12"/>
      <c r="Z44" s="72" t="s">
        <v>138</v>
      </c>
    </row>
    <row r="45" ht="21.0" customHeight="1">
      <c r="A45" s="76" t="s">
        <v>139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2"/>
      <c r="Z45" s="72" t="s">
        <v>140</v>
      </c>
    </row>
    <row r="46" ht="13.5" customHeight="1">
      <c r="A46" s="67" t="str">
        <f>IF(ISNUMBER(SEARCH("Medical",$Z$40)),"☑","☐")</f>
        <v>☐</v>
      </c>
      <c r="B46" s="68" t="s">
        <v>106</v>
      </c>
      <c r="C46" s="19"/>
      <c r="D46" s="19"/>
      <c r="E46" s="19"/>
      <c r="F46" s="19"/>
      <c r="G46" s="19"/>
      <c r="H46" s="19"/>
      <c r="I46" s="19"/>
      <c r="J46" s="19"/>
      <c r="K46" s="19"/>
      <c r="L46" s="12"/>
      <c r="M46" s="71" t="str">
        <f>IF(ISNUMBER(SEARCH("Resource Volunteer",$Z$40)),"☑","☐")</f>
        <v>☐</v>
      </c>
      <c r="N46" s="68" t="s">
        <v>141</v>
      </c>
      <c r="O46" s="19"/>
      <c r="P46" s="19"/>
      <c r="Q46" s="12"/>
      <c r="R46" s="71" t="str">
        <f>IF(ISNUMBER(SEARCH("Community Beautification",$Z$40)),"☑","☐")</f>
        <v>☐</v>
      </c>
      <c r="S46" s="68" t="s">
        <v>142</v>
      </c>
      <c r="T46" s="19"/>
      <c r="U46" s="19"/>
      <c r="V46" s="19"/>
      <c r="W46" s="19"/>
      <c r="X46" s="12"/>
      <c r="Z46" s="72" t="s">
        <v>143</v>
      </c>
    </row>
    <row r="47" ht="11.25" customHeight="1">
      <c r="A47" s="67" t="str">
        <f>IF(ISNUMBER(SEARCH("Community Leader",$Y$40)),"☑","☐")</f>
        <v>☐</v>
      </c>
      <c r="B47" s="68" t="s">
        <v>144</v>
      </c>
      <c r="C47" s="19"/>
      <c r="D47" s="19"/>
      <c r="E47" s="19"/>
      <c r="F47" s="19"/>
      <c r="G47" s="19"/>
      <c r="H47" s="19"/>
      <c r="I47" s="19"/>
      <c r="J47" s="19"/>
      <c r="K47" s="19"/>
      <c r="L47" s="12"/>
      <c r="M47" s="71" t="str">
        <f>IF(ISNUMBER(SEARCH("Dental",$Z$40)),"☑","☐")</f>
        <v>☐</v>
      </c>
      <c r="N47" s="68" t="s">
        <v>145</v>
      </c>
      <c r="O47" s="19"/>
      <c r="P47" s="19"/>
      <c r="Q47" s="12"/>
      <c r="R47" s="71" t="str">
        <f>IF(ISNUMBER(SEARCH("Friendly Visits",$Z$40)),"☑","☐")</f>
        <v>☐</v>
      </c>
      <c r="S47" s="68" t="s">
        <v>146</v>
      </c>
      <c r="T47" s="19"/>
      <c r="U47" s="19"/>
      <c r="V47" s="19"/>
      <c r="W47" s="19"/>
      <c r="X47" s="12"/>
      <c r="Z47" s="72" t="s">
        <v>147</v>
      </c>
    </row>
    <row r="48" ht="11.25" customHeight="1">
      <c r="A48" s="67" t="str">
        <f>IF(ISNUMBER(SEARCH("Neighborhood Support Services",$Z$40)),"☑","☐")</f>
        <v>☐</v>
      </c>
      <c r="B48" s="68" t="s">
        <v>148</v>
      </c>
      <c r="C48" s="19"/>
      <c r="D48" s="19"/>
      <c r="E48" s="19"/>
      <c r="F48" s="19"/>
      <c r="G48" s="19"/>
      <c r="H48" s="19"/>
      <c r="I48" s="19"/>
      <c r="J48" s="19"/>
      <c r="K48" s="19"/>
      <c r="L48" s="12"/>
      <c r="M48" s="71" t="str">
        <f>IF(ISNUMBER(SEARCH("Legal Services",$Z$40)),"☑","☐")</f>
        <v>☐</v>
      </c>
      <c r="N48" s="68" t="s">
        <v>149</v>
      </c>
      <c r="O48" s="19"/>
      <c r="P48" s="19"/>
      <c r="Q48" s="12"/>
      <c r="R48" s="71" t="str">
        <f>IF(ISNUMBER(SEARCH("Religious",$Z$40)),"☑","☐")</f>
        <v>☐</v>
      </c>
      <c r="S48" s="68" t="s">
        <v>150</v>
      </c>
      <c r="T48" s="19"/>
      <c r="U48" s="19"/>
      <c r="V48" s="19"/>
      <c r="W48" s="19"/>
      <c r="X48" s="12"/>
      <c r="Z48" s="72" t="s">
        <v>151</v>
      </c>
    </row>
    <row r="49" ht="11.25" customHeight="1">
      <c r="A49" s="77" t="str">
        <f>IF(ISNUMBER(SEARCH("Counselling",$Z$40)),"☑","☐")</f>
        <v>☐</v>
      </c>
      <c r="B49" s="74" t="s">
        <v>152</v>
      </c>
      <c r="C49" s="2"/>
      <c r="D49" s="2"/>
      <c r="E49" s="2"/>
      <c r="F49" s="2"/>
      <c r="G49" s="2"/>
      <c r="H49" s="2"/>
      <c r="I49" s="2"/>
      <c r="J49" s="2"/>
      <c r="K49" s="2"/>
      <c r="L49" s="3"/>
      <c r="M49" s="78" t="str">
        <f>IF(ISNUMBER(SEARCH("Sponsorship",$Z$40)),"☑","☐")</f>
        <v>☐</v>
      </c>
      <c r="N49" s="74" t="s">
        <v>153</v>
      </c>
      <c r="O49" s="2"/>
      <c r="P49" s="2"/>
      <c r="Q49" s="3"/>
      <c r="R49" s="78"/>
      <c r="S49" s="2"/>
      <c r="T49" s="2"/>
      <c r="U49" s="2"/>
      <c r="V49" s="2"/>
      <c r="W49" s="2"/>
      <c r="X49" s="3"/>
      <c r="Z49" s="72" t="s">
        <v>154</v>
      </c>
    </row>
    <row r="50" ht="11.25" customHeight="1">
      <c r="A50" s="79" t="s">
        <v>155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8"/>
      <c r="Z50" s="72" t="s">
        <v>156</v>
      </c>
    </row>
    <row r="51" ht="15.75" customHeight="1">
      <c r="A51" s="80" t="s">
        <v>157</v>
      </c>
      <c r="X51" s="16"/>
      <c r="Z51" s="72" t="s">
        <v>158</v>
      </c>
    </row>
    <row r="52" ht="15.75" customHeight="1">
      <c r="A52" s="81" t="str">
        <f>IF(ISNUMBER(SEARCH("Own Earnings",$Z$41)),"☑","☐")</f>
        <v>☐</v>
      </c>
      <c r="B52" s="68" t="s">
        <v>159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48" t="str">
        <f>IF(ISNUMBER(SEARCH("Own Pension",$Z$41)),"☑","☐")</f>
        <v>☐</v>
      </c>
      <c r="N52" s="68" t="s">
        <v>160</v>
      </c>
      <c r="O52" s="19"/>
      <c r="P52" s="19"/>
      <c r="Q52" s="12"/>
      <c r="R52" s="68" t="str">
        <f>IF(ISNUMBER(SEARCH("Stocks",$Z$41)),"☑","☐")</f>
        <v>☐</v>
      </c>
      <c r="S52" s="82" t="s">
        <v>161</v>
      </c>
      <c r="T52" s="19"/>
      <c r="U52" s="19"/>
      <c r="V52" s="19"/>
      <c r="W52" s="19"/>
      <c r="X52" s="12"/>
      <c r="Z52" s="72" t="s">
        <v>162</v>
      </c>
    </row>
    <row r="53" ht="15.75" customHeight="1">
      <c r="A53" s="77" t="str">
        <f>IF(ISNUMBER(SEARCH("Dependent on Children",$Z$41)),"☑","☐")</f>
        <v>☐</v>
      </c>
      <c r="B53" s="83" t="s">
        <v>163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84" t="str">
        <f>IF(ISNUMBER(SEARCH("Spouse Salary",$Z$41)),"☑","☐")</f>
        <v>☐</v>
      </c>
      <c r="N53" s="69" t="s">
        <v>164</v>
      </c>
      <c r="O53" s="22"/>
      <c r="P53" s="22"/>
      <c r="Q53" s="10"/>
      <c r="R53" s="83" t="str">
        <f>IF(ISNUMBER(SEARCH("Insurance",$Z$41)),"☑","☐")</f>
        <v>☐</v>
      </c>
      <c r="S53" s="83" t="s">
        <v>165</v>
      </c>
      <c r="T53" s="22"/>
      <c r="U53" s="22"/>
      <c r="V53" s="22"/>
      <c r="W53" s="22"/>
      <c r="X53" s="10"/>
    </row>
    <row r="54" ht="15.75" customHeight="1">
      <c r="A54" s="85" t="str">
        <f>IF(ISNUMBER(SEARCH("Spouse Pension",$Z$41)),"☑","☐")</f>
        <v>☐</v>
      </c>
      <c r="B54" s="69" t="s">
        <v>166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86" t="str">
        <f>IF(ISNUMBER(SEARCH("Rental",$Z$41)),"☑","☐")</f>
        <v>☐</v>
      </c>
      <c r="N54" s="69" t="s">
        <v>167</v>
      </c>
      <c r="O54" s="22"/>
      <c r="P54" s="22"/>
      <c r="Q54" s="10"/>
      <c r="R54" s="82" t="str">
        <f>IF(ISNUMBER(SEARCH("Savings",$Z$41)),"☑","☐")</f>
        <v>☐</v>
      </c>
      <c r="S54" s="82" t="s">
        <v>168</v>
      </c>
      <c r="T54" s="19"/>
      <c r="U54" s="19"/>
      <c r="V54" s="19"/>
      <c r="W54" s="19"/>
      <c r="X54" s="12"/>
    </row>
    <row r="55" ht="15.75" customHeight="1">
      <c r="A55" s="87" t="str">
        <f>IF(ISNUMBER(SEARCH("Livestock",$Z$41)),"☑","☐")</f>
        <v>☐</v>
      </c>
      <c r="B55" s="83" t="s">
        <v>169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84" t="str">
        <f>IF(ISNUMBER(SEARCH("Fishing",$Z$41)),"☑","☐")</f>
        <v>☐</v>
      </c>
      <c r="N55" s="69" t="s">
        <v>170</v>
      </c>
      <c r="O55" s="22"/>
      <c r="P55" s="22"/>
      <c r="Q55" s="10"/>
      <c r="R55" s="82"/>
      <c r="S55" s="82"/>
      <c r="T55" s="19"/>
      <c r="U55" s="19"/>
      <c r="V55" s="19"/>
      <c r="W55" s="19"/>
      <c r="X55" s="12"/>
    </row>
    <row r="56" ht="15.75" customHeight="1">
      <c r="A56" s="88" t="s">
        <v>171</v>
      </c>
      <c r="L56" s="16"/>
      <c r="M56" s="89" t="s">
        <v>172</v>
      </c>
      <c r="X56" s="16"/>
    </row>
    <row r="57" ht="24.0" customHeight="1">
      <c r="A57" s="87" t="str">
        <f>IF(ISNUMBER(SEARCH("House",$Z$42)),"☑","☐")</f>
        <v>☐</v>
      </c>
      <c r="B57" s="82" t="s">
        <v>173</v>
      </c>
      <c r="C57" s="19"/>
      <c r="D57" s="71" t="str">
        <f>IF(ISNUMBER(SEARCH("Farmland",$Z$42)),"☑","☐")</f>
        <v>☐</v>
      </c>
      <c r="E57" s="19"/>
      <c r="F57" s="68" t="s">
        <v>174</v>
      </c>
      <c r="G57" s="19"/>
      <c r="H57" s="19"/>
      <c r="I57" s="19"/>
      <c r="J57" s="19"/>
      <c r="K57" s="19"/>
      <c r="L57" s="19"/>
      <c r="M57" s="71" t="str">
        <f>IF(ISNUMBER(SEARCH("Automobile",$Z$43)),"☑","☐")</f>
        <v>☐</v>
      </c>
      <c r="N57" s="68" t="s">
        <v>175</v>
      </c>
      <c r="O57" s="19"/>
      <c r="P57" s="48" t="str">
        <f>IF(ISNUMBER(SEARCH("Boats",$Z$43)),"☑","☐")</f>
        <v>☐</v>
      </c>
      <c r="Q57" s="68" t="s">
        <v>176</v>
      </c>
      <c r="R57" s="19"/>
      <c r="S57" s="19"/>
      <c r="T57" s="90" t="str">
        <f>IF(ISNUMBER(SEARCH("Mobile Phones",$Z$43)),"☑","☐")</f>
        <v>☐</v>
      </c>
      <c r="U57" s="91" t="s">
        <v>177</v>
      </c>
      <c r="V57" s="92"/>
      <c r="W57" s="92"/>
      <c r="X57" s="93"/>
    </row>
    <row r="58" ht="19.5" customHeight="1">
      <c r="A58" s="94" t="str">
        <f>IF(ISNUMBER(SEARCH("House and Lot",$Z$42)),"☑","☐")</f>
        <v>☐</v>
      </c>
      <c r="B58" s="95" t="s">
        <v>178</v>
      </c>
      <c r="C58" s="22"/>
      <c r="D58" s="96" t="str">
        <f>IF(ISNUMBER(SEARCH("Commercial Building",$Z$42)),"☑","☐")</f>
        <v>☐</v>
      </c>
      <c r="E58" s="22"/>
      <c r="F58" s="69" t="s">
        <v>179</v>
      </c>
      <c r="G58" s="22"/>
      <c r="H58" s="22"/>
      <c r="I58" s="22"/>
      <c r="J58" s="22"/>
      <c r="K58" s="22"/>
      <c r="L58" s="10"/>
      <c r="M58" s="71" t="str">
        <f>IF(ISNUMBER(SEARCH("Motorcycle",$Z$43)),"☑","☐")</f>
        <v>☐</v>
      </c>
      <c r="N58" s="68" t="s">
        <v>180</v>
      </c>
      <c r="O58" s="19"/>
      <c r="P58" s="48" t="str">
        <f>IF(ISNUMBER(SEARCH("Heavy Equipment",$Z$43)),"☑","☐")</f>
        <v>☐</v>
      </c>
      <c r="Q58" s="97" t="s">
        <v>181</v>
      </c>
      <c r="R58" s="92"/>
      <c r="S58" s="92"/>
      <c r="T58" s="98" t="str">
        <f>IF(ISNUMBER(SEARCH("Drones",$Z$43)),"☑","☐")</f>
        <v>☐</v>
      </c>
      <c r="U58" s="99" t="s">
        <v>182</v>
      </c>
      <c r="V58" s="100"/>
      <c r="W58" s="100"/>
      <c r="X58" s="101"/>
    </row>
    <row r="59" ht="14.25" customHeight="1">
      <c r="A59" s="102" t="str">
        <f>IF(ISNUMBER(SEARCH("Fishpond",$Z$42)),"☑","☐")</f>
        <v>☐</v>
      </c>
      <c r="B59" s="68" t="s">
        <v>183</v>
      </c>
      <c r="C59" s="19"/>
      <c r="D59" s="19"/>
      <c r="E59" s="19"/>
      <c r="F59" s="19"/>
      <c r="G59" s="19"/>
      <c r="H59" s="19"/>
      <c r="I59" s="19"/>
      <c r="J59" s="19"/>
      <c r="K59" s="19"/>
      <c r="L59" s="12"/>
      <c r="M59" s="71" t="str">
        <f>IF(ISNUMBER(SEARCH("Laptops",$Z$43)),"☑","☐")</f>
        <v>☐</v>
      </c>
      <c r="N59" s="68" t="s">
        <v>184</v>
      </c>
      <c r="O59" s="19"/>
      <c r="P59" s="71" t="str">
        <f>IF(ISNUMBER(SEARCH("Personal Computer",$Z$43)),"☑","☐")</f>
        <v>☐</v>
      </c>
      <c r="Q59" s="69" t="s">
        <v>185</v>
      </c>
      <c r="R59" s="22"/>
      <c r="S59" s="22"/>
      <c r="T59" s="22"/>
      <c r="U59" s="22"/>
      <c r="V59" s="22"/>
      <c r="W59" s="22"/>
      <c r="X59" s="10"/>
    </row>
    <row r="60" ht="15.75" customHeight="1">
      <c r="A60" s="103" t="s">
        <v>186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3"/>
    </row>
    <row r="61" ht="20.25" customHeight="1">
      <c r="A61" s="104" t="str">
        <f>IF(ISNUMBER(SEARCH("Lack of Income",$Z$44)),"☑","☐")</f>
        <v>☐</v>
      </c>
      <c r="B61" s="19"/>
      <c r="C61" s="105" t="s">
        <v>187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2"/>
    </row>
    <row r="62" ht="15.75" customHeight="1">
      <c r="A62" s="106" t="str">
        <f>IF(ISNUMBER(SEARCH("Loss of Income",$Z$44)),"☑","☐")</f>
        <v>☐</v>
      </c>
      <c r="B62" s="19"/>
      <c r="C62" s="105" t="s">
        <v>188</v>
      </c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2"/>
    </row>
    <row r="63" ht="15.75" customHeight="1">
      <c r="A63" s="106" t="str">
        <f>IF(ISNUMBER(SEARCH("Skills",$Z$44)),"☑","☐")</f>
        <v>☐</v>
      </c>
      <c r="B63" s="19"/>
      <c r="C63" s="105" t="s">
        <v>189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2"/>
    </row>
    <row r="64" ht="15.75" customHeight="1">
      <c r="A64" s="107" t="str">
        <f>IF(ISNUMBER(SEARCH("Livelihood Oppurtunities",$Z$44)),"☑","☐")</f>
        <v>☐</v>
      </c>
      <c r="C64" s="108" t="s">
        <v>190</v>
      </c>
      <c r="X64" s="16"/>
    </row>
    <row r="65" ht="15.75" customHeight="1">
      <c r="A65" s="109" t="s">
        <v>191</v>
      </c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10"/>
    </row>
    <row r="66" ht="15.75" customHeight="1">
      <c r="A66" s="110" t="s">
        <v>192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2"/>
      <c r="O66" s="110" t="s">
        <v>193</v>
      </c>
      <c r="P66" s="19"/>
      <c r="Q66" s="19"/>
      <c r="R66" s="19"/>
      <c r="S66" s="19"/>
      <c r="T66" s="19"/>
      <c r="U66" s="19"/>
      <c r="V66" s="19"/>
      <c r="W66" s="19"/>
      <c r="X66" s="19"/>
    </row>
    <row r="67" ht="15.75" customHeight="1">
      <c r="A67" s="111" t="str">
        <f>IF(ISNUMBER(SEARCH("Hypertension",$Z$45)),"☑","☐")</f>
        <v>☐</v>
      </c>
      <c r="B67" s="82" t="s">
        <v>194</v>
      </c>
      <c r="C67" s="19"/>
      <c r="D67" s="12"/>
      <c r="E67" s="82" t="str">
        <f>IF(ISNUMBER(SEARCH("Gout",$Z$45)),"☑","☐")</f>
        <v>☐</v>
      </c>
      <c r="F67" s="112" t="s">
        <v>195</v>
      </c>
      <c r="G67" s="2"/>
      <c r="H67" s="2"/>
      <c r="I67" s="2"/>
      <c r="J67" s="3"/>
      <c r="K67" s="112" t="str">
        <f>IF(ISNUMBER(SEARCH("Heart Disease",$Z$45)),"☑","☐")</f>
        <v>☐</v>
      </c>
      <c r="L67" s="82" t="s">
        <v>196</v>
      </c>
      <c r="M67" s="19"/>
      <c r="N67" s="12"/>
      <c r="O67" s="113" t="str">
        <f>IF(ISNUMBER(SEARCH("Feeling Neglect",$Z$49)),"☑","☐")</f>
        <v>☐</v>
      </c>
      <c r="P67" s="82" t="s">
        <v>197</v>
      </c>
      <c r="Q67" s="19"/>
      <c r="R67" s="19"/>
      <c r="S67" s="19"/>
      <c r="T67" s="19"/>
      <c r="U67" s="19"/>
      <c r="V67" s="19"/>
      <c r="W67" s="19"/>
      <c r="X67" s="12"/>
    </row>
    <row r="68" ht="15.75" customHeight="1">
      <c r="A68" s="111" t="str">
        <f>IF(ISNUMBER(SEARCH("Diabeties",$Z$45)),"☑","☐")</f>
        <v>☐</v>
      </c>
      <c r="B68" s="82" t="s">
        <v>198</v>
      </c>
      <c r="C68" s="19"/>
      <c r="D68" s="12"/>
      <c r="E68" s="82" t="str">
        <f>IF(ISNUMBER(SEARCH("Kidnet Disease",$Z$45)),"☑","☐")</f>
        <v>☐</v>
      </c>
      <c r="F68" s="82" t="s">
        <v>199</v>
      </c>
      <c r="G68" s="19"/>
      <c r="H68" s="19"/>
      <c r="I68" s="19"/>
      <c r="J68" s="12"/>
      <c r="K68" s="82" t="str">
        <f>IF(ISNUMBER(SEARCH("Dementia",$Z$45)),"☑","☐")</f>
        <v>☐</v>
      </c>
      <c r="L68" s="83" t="s">
        <v>200</v>
      </c>
      <c r="M68" s="22"/>
      <c r="N68" s="22"/>
      <c r="O68" s="113" t="str">
        <f>IF(ISNUMBER(SEARCH("Feeling Helplessness",$Z$49)),"☑","☐")</f>
        <v>☐</v>
      </c>
      <c r="P68" s="82" t="s">
        <v>201</v>
      </c>
      <c r="Q68" s="19"/>
      <c r="R68" s="19"/>
      <c r="S68" s="19"/>
      <c r="T68" s="19"/>
      <c r="U68" s="19"/>
      <c r="V68" s="19"/>
      <c r="W68" s="19"/>
      <c r="X68" s="12"/>
    </row>
    <row r="69" ht="15.75" customHeight="1">
      <c r="A69" s="87" t="str">
        <f>IF(ISNUMBER(SEARCH("Pulmonary Disease",$Z$45)),"☑","☐")</f>
        <v>☐</v>
      </c>
      <c r="B69" s="82" t="s">
        <v>202</v>
      </c>
      <c r="C69" s="19"/>
      <c r="D69" s="19"/>
      <c r="E69" s="19"/>
      <c r="F69" s="19"/>
      <c r="G69" s="19"/>
      <c r="H69" s="19"/>
      <c r="I69" s="71" t="str">
        <f>IF(ISNUMBER(SEARCH("Health Problems",$Z$45)),"☑","☐")</f>
        <v>☐</v>
      </c>
      <c r="J69" s="68" t="s">
        <v>203</v>
      </c>
      <c r="K69" s="19"/>
      <c r="L69" s="19"/>
      <c r="M69" s="19"/>
      <c r="N69" s="12"/>
      <c r="O69" s="114" t="str">
        <f>IF(ISNUMBER(SEARCH("Feeling Loneliness",$Z$49)),"☑","☐")</f>
        <v>☐</v>
      </c>
      <c r="P69" s="82" t="s">
        <v>204</v>
      </c>
      <c r="Q69" s="19"/>
      <c r="R69" s="19"/>
      <c r="S69" s="19"/>
      <c r="T69" s="19"/>
      <c r="U69" s="19"/>
      <c r="V69" s="19"/>
      <c r="W69" s="19"/>
      <c r="X69" s="12"/>
    </row>
    <row r="70" ht="15.75" customHeight="1">
      <c r="A70" s="115" t="s">
        <v>205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3"/>
      <c r="O70" s="113" t="str">
        <f>IF(ISNUMBER(SEARCH("Lack Leisure",$Z$49)),"☑","☐")</f>
        <v>☐</v>
      </c>
      <c r="P70" s="112" t="s">
        <v>206</v>
      </c>
      <c r="Q70" s="2"/>
      <c r="R70" s="2"/>
      <c r="S70" s="2"/>
      <c r="T70" s="2"/>
      <c r="U70" s="2"/>
      <c r="V70" s="2"/>
      <c r="W70" s="2"/>
      <c r="X70" s="3"/>
    </row>
    <row r="71" ht="15.75" customHeight="1">
      <c r="A71" s="87" t="str">
        <f>IF(ISNUMBER(SEARCH("Needs Dental Care",$Z$46)),"☑","☐")</f>
        <v>☐</v>
      </c>
      <c r="B71" s="82" t="s">
        <v>207</v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2"/>
      <c r="O71" s="113" t="str">
        <f>IF(ISNUMBER(SEARCH("Lack SC Friendly Environment",$Z$49)),"☑","☐")</f>
        <v>☐</v>
      </c>
      <c r="P71" s="116" t="s">
        <v>208</v>
      </c>
      <c r="Q71" s="57"/>
      <c r="R71" s="57"/>
      <c r="S71" s="57"/>
      <c r="T71" s="57"/>
      <c r="U71" s="57"/>
      <c r="V71" s="57"/>
      <c r="W71" s="57"/>
      <c r="X71" s="58"/>
    </row>
    <row r="72" ht="15.75" customHeight="1">
      <c r="A72" s="115" t="s">
        <v>209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3"/>
      <c r="O72" s="115" t="s">
        <v>210</v>
      </c>
      <c r="P72" s="2"/>
      <c r="Q72" s="2"/>
      <c r="R72" s="2"/>
      <c r="S72" s="2"/>
      <c r="T72" s="2"/>
      <c r="U72" s="2"/>
      <c r="V72" s="2"/>
      <c r="W72" s="2"/>
      <c r="X72" s="3"/>
    </row>
    <row r="73" ht="15.75" customHeight="1">
      <c r="A73" s="87" t="str">
        <f>IF(ISNUMBER(SEARCH("Eye Impairment",$Z$47)),"☑","☐")</f>
        <v>☐</v>
      </c>
      <c r="B73" s="82" t="s">
        <v>211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2"/>
      <c r="O73" s="117" t="str">
        <f>IF(ISNUMBER(SEARCH("High Cost of Medicines",$Z$50)),"☑","☐")</f>
        <v>☐</v>
      </c>
      <c r="P73" s="82" t="s">
        <v>212</v>
      </c>
      <c r="Q73" s="19"/>
      <c r="R73" s="19"/>
      <c r="S73" s="19"/>
      <c r="T73" s="19"/>
      <c r="U73" s="19"/>
      <c r="V73" s="19"/>
      <c r="W73" s="19"/>
      <c r="X73" s="12"/>
    </row>
    <row r="74" ht="15.75" customHeight="1">
      <c r="A74" s="118" t="str">
        <f>IF(ISNUMBER(SEARCH("Needs Eye Care",$Z$47)),"☑","☐")</f>
        <v>☐</v>
      </c>
      <c r="B74" s="82" t="s">
        <v>213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2"/>
      <c r="O74" s="113" t="str">
        <f>IF(ISNUMBER(SEARCH("Lack of Medicines",$Z$50)),"☑","☐")</f>
        <v>☐</v>
      </c>
      <c r="P74" s="82" t="s">
        <v>214</v>
      </c>
      <c r="Q74" s="19"/>
      <c r="R74" s="19"/>
      <c r="S74" s="19"/>
      <c r="T74" s="19"/>
      <c r="U74" s="19"/>
      <c r="V74" s="19"/>
      <c r="W74" s="19"/>
      <c r="X74" s="12"/>
    </row>
    <row r="75" ht="15.75" customHeight="1">
      <c r="A75" s="119" t="s">
        <v>215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2"/>
      <c r="O75" s="120" t="str">
        <f>IF(ISNUMBER(SEARCH("Lack of Medical Attention",$Z$50)),"☑","☐")</f>
        <v>☐</v>
      </c>
      <c r="P75" s="112" t="s">
        <v>216</v>
      </c>
      <c r="Q75" s="2"/>
      <c r="R75" s="2"/>
      <c r="S75" s="2"/>
      <c r="T75" s="2"/>
      <c r="U75" s="2"/>
      <c r="V75" s="2"/>
      <c r="W75" s="2"/>
      <c r="X75" s="3"/>
    </row>
    <row r="76" ht="15.75" customHeight="1">
      <c r="A76" s="67" t="str">
        <f>IF(ISNUMBER(SEARCH("Aural Impairment",$Z$48)),"☑","☐")</f>
        <v>☐</v>
      </c>
      <c r="B76" s="121" t="s">
        <v>217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3"/>
      <c r="O76" s="21"/>
      <c r="P76" s="22"/>
      <c r="Q76" s="22"/>
      <c r="R76" s="22"/>
      <c r="S76" s="22"/>
      <c r="T76" s="22"/>
      <c r="U76" s="22"/>
      <c r="V76" s="22"/>
      <c r="W76" s="22"/>
      <c r="X76" s="10"/>
    </row>
    <row r="77" ht="15.75" customHeight="1">
      <c r="A77" s="46" t="s">
        <v>218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2"/>
    </row>
    <row r="78" ht="15.75" customHeight="1">
      <c r="A78" s="122" t="s">
        <v>219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3"/>
    </row>
    <row r="79" ht="15.75" customHeight="1">
      <c r="A79" s="44"/>
      <c r="X79" s="16"/>
    </row>
    <row r="80" ht="15.75" customHeight="1">
      <c r="A80" s="44"/>
      <c r="X80" s="16"/>
    </row>
    <row r="81" ht="15.75" customHeight="1">
      <c r="A81" s="44"/>
      <c r="X81" s="16"/>
    </row>
    <row r="82" ht="15.75" customHeight="1">
      <c r="A82" s="44"/>
      <c r="X82" s="16"/>
    </row>
    <row r="83" ht="15.75" customHeight="1">
      <c r="A83" s="21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10"/>
    </row>
    <row r="84" ht="15.75" customHeight="1">
      <c r="A84" s="123" t="s">
        <v>220</v>
      </c>
      <c r="B84" s="19"/>
      <c r="C84" s="19"/>
      <c r="D84" s="19"/>
      <c r="E84" s="19"/>
      <c r="F84" s="19"/>
      <c r="G84" s="19"/>
      <c r="H84" s="19"/>
      <c r="I84" s="12"/>
      <c r="J84" s="114" t="str">
        <f>IF(LOWER(TRIM($Z$51))="yes","☑","☐")
</f>
        <v>☐</v>
      </c>
      <c r="K84" s="124" t="s">
        <v>221</v>
      </c>
      <c r="L84" s="19"/>
      <c r="M84" s="19"/>
      <c r="N84" s="19"/>
      <c r="O84" s="12"/>
      <c r="P84" s="125" t="str">
        <f>IF(LOWER(TRIM($Z$51))="no","☑","☐")
</f>
        <v>☐</v>
      </c>
      <c r="Q84" s="126" t="s">
        <v>222</v>
      </c>
      <c r="R84" s="19"/>
      <c r="S84" s="19"/>
      <c r="T84" s="19"/>
      <c r="U84" s="19"/>
      <c r="V84" s="19"/>
      <c r="W84" s="19"/>
      <c r="X84" s="12"/>
    </row>
    <row r="85" ht="15.75" customHeight="1">
      <c r="A85" s="127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2"/>
    </row>
    <row r="86" ht="15.75" customHeight="1">
      <c r="A86" s="128" t="s">
        <v>223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3"/>
    </row>
    <row r="87" ht="15.75" customHeight="1">
      <c r="A87" s="44"/>
      <c r="X87" s="16"/>
    </row>
    <row r="88" ht="15.75" customHeight="1">
      <c r="A88" s="129"/>
    </row>
    <row r="89" ht="15.75" customHeight="1">
      <c r="A89" s="130" t="s">
        <v>224</v>
      </c>
      <c r="B89" s="100"/>
      <c r="C89" s="100"/>
      <c r="D89" s="100"/>
      <c r="E89" s="100"/>
      <c r="F89" s="100"/>
      <c r="G89" s="100"/>
      <c r="H89" s="100"/>
      <c r="I89" s="100"/>
      <c r="J89" s="129"/>
      <c r="K89" s="129"/>
      <c r="L89" s="129"/>
    </row>
    <row r="90" ht="15.75" customHeight="1">
      <c r="A90" s="131" t="s">
        <v>225</v>
      </c>
      <c r="L90" s="22"/>
      <c r="M90" s="22"/>
      <c r="N90" s="22"/>
      <c r="O90" s="22"/>
      <c r="P90" s="22"/>
      <c r="Q90" s="22"/>
    </row>
    <row r="91" ht="15.75" customHeight="1">
      <c r="A91" s="132"/>
      <c r="B91" s="133"/>
      <c r="C91" s="133"/>
      <c r="D91" s="133"/>
      <c r="E91" s="133"/>
      <c r="F91" s="133"/>
    </row>
    <row r="92" ht="15.75" customHeight="1">
      <c r="A92" s="134" t="s">
        <v>226</v>
      </c>
      <c r="L92" s="135" t="s">
        <v>227</v>
      </c>
    </row>
    <row r="93" ht="15.75" customHeight="1">
      <c r="A93" s="136" t="s">
        <v>228</v>
      </c>
      <c r="B93" s="137"/>
      <c r="C93" s="137"/>
      <c r="D93" s="137"/>
      <c r="E93" s="137"/>
      <c r="F93" s="137"/>
      <c r="G93" s="137"/>
      <c r="H93" s="137"/>
      <c r="I93" s="137"/>
      <c r="L93" s="135" t="s">
        <v>229</v>
      </c>
    </row>
    <row r="94" ht="15.75" customHeight="1">
      <c r="A94" s="132"/>
      <c r="B94" s="132"/>
      <c r="C94" s="132"/>
      <c r="D94" s="132"/>
      <c r="E94" s="132"/>
      <c r="F94" s="132"/>
      <c r="G94" s="132"/>
      <c r="H94" s="132"/>
      <c r="I94" s="132"/>
    </row>
    <row r="95" ht="15.75" customHeight="1">
      <c r="A95" s="138" t="s">
        <v>230</v>
      </c>
      <c r="B95" s="22"/>
      <c r="C95" s="22"/>
      <c r="D95" s="22"/>
      <c r="E95" s="22"/>
      <c r="F95" s="22"/>
      <c r="G95" s="22"/>
      <c r="H95" s="22"/>
      <c r="I95" s="22"/>
      <c r="L95" s="139"/>
      <c r="M95" s="100"/>
      <c r="N95" s="100"/>
      <c r="O95" s="100"/>
      <c r="P95" s="100"/>
      <c r="Q95" s="100"/>
    </row>
    <row r="96" ht="15.0" customHeight="1">
      <c r="A96" s="140" t="s">
        <v>231</v>
      </c>
      <c r="B96" s="2"/>
      <c r="C96" s="2"/>
      <c r="D96" s="2"/>
      <c r="E96" s="2"/>
      <c r="F96" s="2"/>
      <c r="G96" s="2"/>
      <c r="H96" s="2"/>
      <c r="I96" s="2"/>
      <c r="L96" s="135"/>
    </row>
    <row r="97" ht="19.5" customHeight="1">
      <c r="A97" s="141"/>
    </row>
    <row r="98" ht="24.0" customHeight="1"/>
    <row r="99" ht="24.0" customHeight="1">
      <c r="A99" s="141" t="s">
        <v>232</v>
      </c>
      <c r="J99" s="142" t="s">
        <v>233</v>
      </c>
      <c r="K99" s="100"/>
      <c r="L99" s="100"/>
      <c r="M99" s="100"/>
      <c r="N99" s="100"/>
      <c r="O99" s="135"/>
      <c r="P99" s="135"/>
    </row>
    <row r="100" ht="15.75" customHeight="1">
      <c r="A100" s="134" t="s">
        <v>234</v>
      </c>
      <c r="J100" s="142" t="s">
        <v>235</v>
      </c>
      <c r="K100" s="100"/>
      <c r="L100" s="100"/>
      <c r="M100" s="100"/>
      <c r="N100" s="100"/>
    </row>
    <row r="101" ht="15.75" customHeight="1">
      <c r="A101" s="143"/>
    </row>
    <row r="102" ht="15.75" customHeight="1">
      <c r="A102" s="133"/>
    </row>
    <row r="103" ht="15.75" customHeight="1">
      <c r="A103" s="133"/>
    </row>
    <row r="104" ht="15.75" customHeight="1">
      <c r="A104" s="133"/>
    </row>
    <row r="105" ht="15.75" customHeight="1">
      <c r="A105" s="133"/>
    </row>
    <row r="106" ht="15.75" customHeight="1">
      <c r="A106" s="144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</sheetData>
  <mergeCells count="251">
    <mergeCell ref="A65:X65"/>
    <mergeCell ref="A66:N66"/>
    <mergeCell ref="A31:A33"/>
    <mergeCell ref="B39:C39"/>
    <mergeCell ref="F39:L39"/>
    <mergeCell ref="D39:E39"/>
    <mergeCell ref="V39:X39"/>
    <mergeCell ref="S39:T39"/>
    <mergeCell ref="P38:Q38"/>
    <mergeCell ref="P39:Q39"/>
    <mergeCell ref="B31:X33"/>
    <mergeCell ref="A34:X34"/>
    <mergeCell ref="V38:X38"/>
    <mergeCell ref="S38:T38"/>
    <mergeCell ref="O37:X37"/>
    <mergeCell ref="B38:C38"/>
    <mergeCell ref="F38:L38"/>
    <mergeCell ref="D38:E38"/>
    <mergeCell ref="A35:X35"/>
    <mergeCell ref="A36:X36"/>
    <mergeCell ref="A37:N37"/>
    <mergeCell ref="B55:L55"/>
    <mergeCell ref="N55:Q55"/>
    <mergeCell ref="A56:L56"/>
    <mergeCell ref="B57:C57"/>
    <mergeCell ref="F57:L57"/>
    <mergeCell ref="D57:E57"/>
    <mergeCell ref="N57:O57"/>
    <mergeCell ref="F58:L58"/>
    <mergeCell ref="B59:L59"/>
    <mergeCell ref="B58:C58"/>
    <mergeCell ref="D58:E58"/>
    <mergeCell ref="N58:O58"/>
    <mergeCell ref="N59:O59"/>
    <mergeCell ref="C61:X61"/>
    <mergeCell ref="C62:X62"/>
    <mergeCell ref="C63:X63"/>
    <mergeCell ref="C64:X64"/>
    <mergeCell ref="A61:B61"/>
    <mergeCell ref="A62:B62"/>
    <mergeCell ref="A63:B63"/>
    <mergeCell ref="O66:X66"/>
    <mergeCell ref="A64:B64"/>
    <mergeCell ref="A84:I84"/>
    <mergeCell ref="K84:O84"/>
    <mergeCell ref="A89:I89"/>
    <mergeCell ref="A90:I90"/>
    <mergeCell ref="A92:I92"/>
    <mergeCell ref="L92:Q92"/>
    <mergeCell ref="L89:Q90"/>
    <mergeCell ref="A93:I93"/>
    <mergeCell ref="L93:Q93"/>
    <mergeCell ref="A101:C101"/>
    <mergeCell ref="A104:C104"/>
    <mergeCell ref="A105:C105"/>
    <mergeCell ref="A100:I100"/>
    <mergeCell ref="A102:G102"/>
    <mergeCell ref="A103:G103"/>
    <mergeCell ref="A106:P106"/>
    <mergeCell ref="J99:N99"/>
    <mergeCell ref="J100:N100"/>
    <mergeCell ref="A96:I96"/>
    <mergeCell ref="A99:I99"/>
    <mergeCell ref="A95:I95"/>
    <mergeCell ref="L95:Q95"/>
    <mergeCell ref="L96:Q96"/>
    <mergeCell ref="A97:Y98"/>
    <mergeCell ref="B73:N73"/>
    <mergeCell ref="B74:N74"/>
    <mergeCell ref="A75:N75"/>
    <mergeCell ref="B76:N76"/>
    <mergeCell ref="P73:X73"/>
    <mergeCell ref="P74:X74"/>
    <mergeCell ref="P75:X76"/>
    <mergeCell ref="O75:O76"/>
    <mergeCell ref="A86:X87"/>
    <mergeCell ref="A88:X88"/>
    <mergeCell ref="Q84:X84"/>
    <mergeCell ref="A85:X85"/>
    <mergeCell ref="A78:X83"/>
    <mergeCell ref="L67:N67"/>
    <mergeCell ref="L68:N68"/>
    <mergeCell ref="P67:X67"/>
    <mergeCell ref="P68:X68"/>
    <mergeCell ref="P69:X69"/>
    <mergeCell ref="P70:X70"/>
    <mergeCell ref="P71:X71"/>
    <mergeCell ref="O72:X72"/>
    <mergeCell ref="B71:N71"/>
    <mergeCell ref="A70:N70"/>
    <mergeCell ref="B67:D67"/>
    <mergeCell ref="F67:J67"/>
    <mergeCell ref="B68:D68"/>
    <mergeCell ref="F68:J68"/>
    <mergeCell ref="B69:H69"/>
    <mergeCell ref="J69:N69"/>
    <mergeCell ref="A72:N72"/>
    <mergeCell ref="A77:X77"/>
    <mergeCell ref="R4:T5"/>
    <mergeCell ref="O5:Q5"/>
    <mergeCell ref="B4:M4"/>
    <mergeCell ref="B5:M5"/>
    <mergeCell ref="A7:A8"/>
    <mergeCell ref="A12:A13"/>
    <mergeCell ref="A9:A11"/>
    <mergeCell ref="A3:B3"/>
    <mergeCell ref="U2:X6"/>
    <mergeCell ref="G3:H3"/>
    <mergeCell ref="M3:T3"/>
    <mergeCell ref="C3:D3"/>
    <mergeCell ref="A1:X1"/>
    <mergeCell ref="A2:T2"/>
    <mergeCell ref="A6:T6"/>
    <mergeCell ref="N11:Q11"/>
    <mergeCell ref="R11:W11"/>
    <mergeCell ref="X9:X11"/>
    <mergeCell ref="O12:Q13"/>
    <mergeCell ref="R12:T13"/>
    <mergeCell ref="B11:M11"/>
    <mergeCell ref="B12:M13"/>
    <mergeCell ref="O4:Q4"/>
    <mergeCell ref="U8:X8"/>
    <mergeCell ref="B8:T8"/>
    <mergeCell ref="J7:M7"/>
    <mergeCell ref="O7:Q7"/>
    <mergeCell ref="R7:T7"/>
    <mergeCell ref="U7:X7"/>
    <mergeCell ref="B9:H9"/>
    <mergeCell ref="B10:W10"/>
    <mergeCell ref="B7:I7"/>
    <mergeCell ref="N21:Q21"/>
    <mergeCell ref="R21:W21"/>
    <mergeCell ref="B21:M21"/>
    <mergeCell ref="B20:M20"/>
    <mergeCell ref="B17:M17"/>
    <mergeCell ref="B18:M18"/>
    <mergeCell ref="O17:Q17"/>
    <mergeCell ref="O18:Q18"/>
    <mergeCell ref="R18:T18"/>
    <mergeCell ref="U18:X18"/>
    <mergeCell ref="N20:Q20"/>
    <mergeCell ref="R20:W20"/>
    <mergeCell ref="A19:X19"/>
    <mergeCell ref="N25:Q25"/>
    <mergeCell ref="R25:W25"/>
    <mergeCell ref="N23:Q23"/>
    <mergeCell ref="R23:W23"/>
    <mergeCell ref="N24:Q24"/>
    <mergeCell ref="R24:X24"/>
    <mergeCell ref="B23:M23"/>
    <mergeCell ref="B24:M24"/>
    <mergeCell ref="B25:M25"/>
    <mergeCell ref="O27:Q27"/>
    <mergeCell ref="O28:Q28"/>
    <mergeCell ref="R27:T27"/>
    <mergeCell ref="R28:T28"/>
    <mergeCell ref="U27:W27"/>
    <mergeCell ref="U28:W28"/>
    <mergeCell ref="B28:N28"/>
    <mergeCell ref="B27:N27"/>
    <mergeCell ref="O26:Q26"/>
    <mergeCell ref="R26:T26"/>
    <mergeCell ref="U26:W26"/>
    <mergeCell ref="B26:N26"/>
    <mergeCell ref="O30:Q30"/>
    <mergeCell ref="R30:T30"/>
    <mergeCell ref="U30:W30"/>
    <mergeCell ref="B30:N30"/>
    <mergeCell ref="O29:Q29"/>
    <mergeCell ref="R29:T29"/>
    <mergeCell ref="U29:W29"/>
    <mergeCell ref="B29:N29"/>
    <mergeCell ref="I9:M9"/>
    <mergeCell ref="O9:Q9"/>
    <mergeCell ref="R9:W9"/>
    <mergeCell ref="N12:N13"/>
    <mergeCell ref="U12:X13"/>
    <mergeCell ref="O14:Q14"/>
    <mergeCell ref="R14:T14"/>
    <mergeCell ref="U14:X14"/>
    <mergeCell ref="U15:X15"/>
    <mergeCell ref="B14:M14"/>
    <mergeCell ref="B15:M15"/>
    <mergeCell ref="O15:Q15"/>
    <mergeCell ref="R15:T15"/>
    <mergeCell ref="O16:Q16"/>
    <mergeCell ref="R16:T16"/>
    <mergeCell ref="U16:X16"/>
    <mergeCell ref="R17:T17"/>
    <mergeCell ref="U17:X17"/>
    <mergeCell ref="N22:Q22"/>
    <mergeCell ref="R22:W22"/>
    <mergeCell ref="B16:M16"/>
    <mergeCell ref="B22:M22"/>
    <mergeCell ref="A20:A21"/>
    <mergeCell ref="A22:A23"/>
    <mergeCell ref="A24:A25"/>
    <mergeCell ref="A26:A30"/>
    <mergeCell ref="B40:C40"/>
    <mergeCell ref="F40:L40"/>
    <mergeCell ref="D40:E40"/>
    <mergeCell ref="A42:N42"/>
    <mergeCell ref="A43:N43"/>
    <mergeCell ref="V42:X42"/>
    <mergeCell ref="V43:X43"/>
    <mergeCell ref="S42:T42"/>
    <mergeCell ref="S43:T43"/>
    <mergeCell ref="P43:Q43"/>
    <mergeCell ref="P42:Q42"/>
    <mergeCell ref="R44:X44"/>
    <mergeCell ref="B46:L46"/>
    <mergeCell ref="A44:N44"/>
    <mergeCell ref="A45:X45"/>
    <mergeCell ref="N46:Q46"/>
    <mergeCell ref="P44:Q44"/>
    <mergeCell ref="S46:X46"/>
    <mergeCell ref="B53:L53"/>
    <mergeCell ref="B54:L54"/>
    <mergeCell ref="N53:Q53"/>
    <mergeCell ref="N54:Q54"/>
    <mergeCell ref="S53:X53"/>
    <mergeCell ref="S54:X54"/>
    <mergeCell ref="A50:X50"/>
    <mergeCell ref="B49:L49"/>
    <mergeCell ref="A51:X51"/>
    <mergeCell ref="R49:X49"/>
    <mergeCell ref="N49:Q49"/>
    <mergeCell ref="B52:L52"/>
    <mergeCell ref="N52:Q52"/>
    <mergeCell ref="S52:X52"/>
    <mergeCell ref="B47:L47"/>
    <mergeCell ref="B48:L48"/>
    <mergeCell ref="N47:Q47"/>
    <mergeCell ref="N48:Q48"/>
    <mergeCell ref="S47:X47"/>
    <mergeCell ref="S48:X48"/>
    <mergeCell ref="S40:T40"/>
    <mergeCell ref="P40:Q40"/>
    <mergeCell ref="P41:Q41"/>
    <mergeCell ref="A41:N41"/>
    <mergeCell ref="V40:X40"/>
    <mergeCell ref="V41:X41"/>
    <mergeCell ref="S41:T41"/>
    <mergeCell ref="S55:X55"/>
    <mergeCell ref="M56:X56"/>
    <mergeCell ref="Q57:S57"/>
    <mergeCell ref="U57:X57"/>
    <mergeCell ref="Q58:S58"/>
    <mergeCell ref="U58:X58"/>
    <mergeCell ref="Q59:X59"/>
    <mergeCell ref="A60:X6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2026-02-26T14:06:09Z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2022-10-14T00:00:00Z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2026-02-26T00:00:00Z</vt:filetime>
  </property>
  <property fmtid="{D5CDD505-2E9C-101B-9397-08002B2CF9AE}" pid="5" name="Producer">
    <vt:lpwstr>Microsoft® Excel® 2019</vt:lpwstr>
  </property>
</Properties>
</file>