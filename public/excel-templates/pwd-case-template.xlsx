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nk3YJlQtsesVeQV8zZ+BWWComl34j7tIjDFPVXQ/Ffk="/>
    </ext>
  </extLst>
</workbook>
</file>

<file path=xl/sharedStrings.xml><?xml version="1.0" encoding="utf-8"?>
<sst xmlns="http://schemas.openxmlformats.org/spreadsheetml/2006/main" count="159" uniqueCount="159">
  <si>
    <t>DEPARTMENT OF HEALTH</t>
  </si>
  <si>
    <t>Philippine Registry for Persons with Disabilities Version 4.0</t>
  </si>
  <si>
    <t>APPLICATION FORM</t>
  </si>
  <si>
    <t>REGISTRATION TYPE</t>
  </si>
  <si>
    <t>New Application</t>
  </si>
  <si>
    <t>Renewal</t>
  </si>
  <si>
    <t>{{APPLICATION_TYPE}}</t>
  </si>
  <si>
    <t>PWD ID Number:</t>
  </si>
  <si>
    <t>{{PWD_NUMBER}}</t>
  </si>
  <si>
    <t>Date Applied</t>
  </si>
  <si>
    <t>{{DATE_APPLIED}}</t>
  </si>
  <si>
    <t>{{SEX}}</t>
  </si>
  <si>
    <t>PERSONAL INFORMATION</t>
  </si>
  <si>
    <t>{{CIVIL_STATUS}}</t>
  </si>
  <si>
    <t>Last Name:</t>
  </si>
  <si>
    <t>{{LAST_NAME}}</t>
  </si>
  <si>
    <t>First Name:</t>
  </si>
  <si>
    <t>{{FIRST_NAME}}</t>
  </si>
  <si>
    <t>Sex:</t>
  </si>
  <si>
    <t>Male</t>
  </si>
  <si>
    <t>Female</t>
  </si>
  <si>
    <t>{{TYPE_OF_DISABILITY}}</t>
  </si>
  <si>
    <t>Middle Name:</t>
  </si>
  <si>
    <t>{{MIDDLE_NAME}}</t>
  </si>
  <si>
    <t>Suffix:</t>
  </si>
  <si>
    <t>{{SUFFIX}}</t>
  </si>
  <si>
    <t>Civil Status:</t>
  </si>
  <si>
    <t>{{CAUSE_OF_DISABILITY}}</t>
  </si>
  <si>
    <t>Date of Birth</t>
  </si>
  <si>
    <t>{{DATE_OF_BIRTH}}</t>
  </si>
  <si>
    <t>Single</t>
  </si>
  <si>
    <t>Married</t>
  </si>
  <si>
    <t>{{EDUCATIONAL_ATTAINMENT}}</t>
  </si>
  <si>
    <t>Separate</t>
  </si>
  <si>
    <t>Widowed</t>
  </si>
  <si>
    <t>Live-in</t>
  </si>
  <si>
    <t>{{OCCUPATION}}</t>
  </si>
  <si>
    <t>TYPE OF DISABILITY</t>
  </si>
  <si>
    <t>CAUSE OF DISABILITY</t>
  </si>
  <si>
    <t>{{EMPLOYMENT_STATUS}}</t>
  </si>
  <si>
    <t>Deaf/Hard of Hearing</t>
  </si>
  <si>
    <t>Psychosocial Disability</t>
  </si>
  <si>
    <t>Autism</t>
  </si>
  <si>
    <t>Down Syndrome</t>
  </si>
  <si>
    <t>{{TYPE_OF_EMPLOYMENT}}</t>
  </si>
  <si>
    <t>Intellectual Disability</t>
  </si>
  <si>
    <t>Speech &amp; Language Impairment</t>
  </si>
  <si>
    <t>{{EMPLOYMENT_CATEGORY}}</t>
  </si>
  <si>
    <t>Learning Disability</t>
  </si>
  <si>
    <t>Visual Disability</t>
  </si>
  <si>
    <t>ADHD</t>
  </si>
  <si>
    <t>Chronic Illness</t>
  </si>
  <si>
    <t>{{ACCOMPLISHED_BY}}</t>
  </si>
  <si>
    <t>Mental Disability</t>
  </si>
  <si>
    <t>Cancer (RA11215)</t>
  </si>
  <si>
    <t>Physical Disability(Orthopedic)</t>
  </si>
  <si>
    <t>Rare Disease (RA10747)</t>
  </si>
  <si>
    <t>Cerebral Palsy</t>
  </si>
  <si>
    <t>Injury</t>
  </si>
  <si>
    <t>RESIDENCE ADDRESS</t>
  </si>
  <si>
    <t>CONTACT DETAILS</t>
  </si>
  <si>
    <t>House No. &amp; Street:</t>
  </si>
  <si>
    <t>{{HOUSE_NO_STREET}}</t>
  </si>
  <si>
    <t>Municipality:</t>
  </si>
  <si>
    <t>{{MUNICIPALITY}}</t>
  </si>
  <si>
    <t>Landline Number</t>
  </si>
  <si>
    <t>{{LANDLINE_NUMBER}}</t>
  </si>
  <si>
    <t>Email Address</t>
  </si>
  <si>
    <t>{{EMAIL_ADDRESS}}</t>
  </si>
  <si>
    <t>Barangay:</t>
  </si>
  <si>
    <t>{{BARANGAY}}</t>
  </si>
  <si>
    <t>Region:</t>
  </si>
  <si>
    <t>{{REGION}}</t>
  </si>
  <si>
    <t>Mobile Number</t>
  </si>
  <si>
    <t>{{MOBILE_NO}}</t>
  </si>
  <si>
    <t>Province:</t>
  </si>
  <si>
    <t>{{PROVINCE}}</t>
  </si>
  <si>
    <t>OCCUPATIONAL</t>
  </si>
  <si>
    <t>EDUCATIONAL ATTAINMENT</t>
  </si>
  <si>
    <t>Managers</t>
  </si>
  <si>
    <t>Craft Related Traxde Workers</t>
  </si>
  <si>
    <t>None</t>
  </si>
  <si>
    <t>Senior High School</t>
  </si>
  <si>
    <t>Professionals</t>
  </si>
  <si>
    <t>Plant &amp; Machine Operators &amp; Assemblers</t>
  </si>
  <si>
    <t>Kindergarten</t>
  </si>
  <si>
    <t>College</t>
  </si>
  <si>
    <t>Technicians &amp; Associate Professional</t>
  </si>
  <si>
    <t>Elementary Occupations</t>
  </si>
  <si>
    <t>Elementary</t>
  </si>
  <si>
    <t>Vocational</t>
  </si>
  <si>
    <t>Clerical Support Worker</t>
  </si>
  <si>
    <t>Junior High School</t>
  </si>
  <si>
    <t>Post Graduate</t>
  </si>
  <si>
    <t>Service &amp; Sales Workers</t>
  </si>
  <si>
    <t>Armed Forces Occupations</t>
  </si>
  <si>
    <t>Skilled Agricultural, Forestry, &amp; Fishery Workers</t>
  </si>
  <si>
    <t>STATUS EMPLOYMENT</t>
  </si>
  <si>
    <t>TYPES OF EMPLOYMENT</t>
  </si>
  <si>
    <t>ORGANIZATIONAL INFORMATION</t>
  </si>
  <si>
    <t>CATEGORY EMPLOYMENT</t>
  </si>
  <si>
    <t xml:space="preserve">Employed </t>
  </si>
  <si>
    <t>Permament/Regular</t>
  </si>
  <si>
    <t>Organizational Affiliated</t>
  </si>
  <si>
    <t>{{ORGANIZATION_AFFILIATED}}</t>
  </si>
  <si>
    <t>Government</t>
  </si>
  <si>
    <t>Unemployed</t>
  </si>
  <si>
    <t>Seasonal</t>
  </si>
  <si>
    <t>Contact Person</t>
  </si>
  <si>
    <t>{{CONTACT_PERSON}}</t>
  </si>
  <si>
    <t>Private</t>
  </si>
  <si>
    <t>Self-employed</t>
  </si>
  <si>
    <t>Casual</t>
  </si>
  <si>
    <t>Office Address</t>
  </si>
  <si>
    <t>{{OFFICE_ADDRESS}}</t>
  </si>
  <si>
    <t>Emergency</t>
  </si>
  <si>
    <t>Telephone Number</t>
  </si>
  <si>
    <t>{{TEL_NO}}</t>
  </si>
  <si>
    <t>ID REFENCE NUMBER</t>
  </si>
  <si>
    <t>FAMILY BACKGROUND</t>
  </si>
  <si>
    <t>SSS Number</t>
  </si>
  <si>
    <t>{{SSS}}</t>
  </si>
  <si>
    <t>LAST NAME</t>
  </si>
  <si>
    <t>FIRST NAME</t>
  </si>
  <si>
    <t>MIDDLE NAME</t>
  </si>
  <si>
    <t>GSIS Number</t>
  </si>
  <si>
    <t>{{GSIS}}</t>
  </si>
  <si>
    <t>Father's Name</t>
  </si>
  <si>
    <t>{{FATHER_LAST_NAME}}</t>
  </si>
  <si>
    <t>{{FATHER_FIRST_NAME}}</t>
  </si>
  <si>
    <t>{{FATHER_MIDDLE_NAME}}</t>
  </si>
  <si>
    <t>Pag-ibig Number</t>
  </si>
  <si>
    <t>{{PAG_IBIG}}</t>
  </si>
  <si>
    <t>PSN Number</t>
  </si>
  <si>
    <t>{{PSN}}</t>
  </si>
  <si>
    <t>Mother's Name</t>
  </si>
  <si>
    <t>{{MOTHER_LAST_NAME}}</t>
  </si>
  <si>
    <t>{{MOTHER_FIRST_NAME}}</t>
  </si>
  <si>
    <t>{{MOTHER_MIDDLE_NAME}}</t>
  </si>
  <si>
    <t>Philhealth Number</t>
  </si>
  <si>
    <t>{{PHILHEALTH}}</t>
  </si>
  <si>
    <t xml:space="preserve">ACCOMPLISHED BY </t>
  </si>
  <si>
    <t>NAME OF CERTIFYING PHYSICIAN</t>
  </si>
  <si>
    <t>{{CERTIFYING_PHYSICIAN}}</t>
  </si>
  <si>
    <t>Applicant</t>
  </si>
  <si>
    <t>Guardian</t>
  </si>
  <si>
    <t>License Number:</t>
  </si>
  <si>
    <t>{{LICENSE_NO}}</t>
  </si>
  <si>
    <t>Representative</t>
  </si>
  <si>
    <t>PROCESSING OFFICER</t>
  </si>
  <si>
    <t>{{PROCESSING_OFFICER}}</t>
  </si>
  <si>
    <t>ENCODER</t>
  </si>
  <si>
    <t>{{ENCODER}}</t>
  </si>
  <si>
    <t>APPROVING OFFICER</t>
  </si>
  <si>
    <t>{{APPROVING_OFFICER}}</t>
  </si>
  <si>
    <t>NAME OF REPORTING UNIT: (OFFICER/SECTION)</t>
  </si>
  <si>
    <t>{{REPORTING_UNIT}}</t>
  </si>
  <si>
    <t>CONTROL NUMBER</t>
  </si>
  <si>
    <t>{{CONTROL_NO}}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</si>
</sst>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Times New Roman"/>
      <scheme val="minor"/>
    </font>
    <font>
      <i/>
      <color theme="1"/>
      <name val="Arial"/>
    </font>
    <font>
      <b/>
      <sz val="21.0"/>
      <color theme="1"/>
      <name val="Arial"/>
    </font>
    <font/>
    <font>
      <b/>
      <color theme="1"/>
      <name val="Arial"/>
    </font>
    <font>
      <color theme="1"/>
      <name val="Times New Roman"/>
    </font>
    <font>
      <color theme="1"/>
      <name val="Arial"/>
    </font>
    <font>
      <color theme="1"/>
      <name val="Times New Roman"/>
      <scheme val="minor"/>
    </font>
    <font>
      <sz val="11.0"/>
      <color rgb="FF000000"/>
      <name val="'Google Sans Text'"/>
    </font>
    <font>
      <sz val="10.0"/>
      <color rgb="FF000000"/>
      <name val="'Google Sans Text'"/>
    </font>
  </fonts>
  <fills count="3">
    <fill>
      <patternFill patternType="none"/>
    </fill>
    <fill>
      <patternFill patternType="lightGray"/>
    </fill>
    <fill>
      <patternFill patternType="solid">
        <fgColor rgb="FF9FC5E8"/>
        <bgColor rgb="FF9FC5E8"/>
      </patternFill>
    </fill>
  </fills>
  <borders count="13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horizontal="left" readingOrder="0" shrinkToFit="0" vertical="top" wrapText="0"/>
    </xf>
    <xf borderId="0" fillId="0" fontId="1" numFmtId="0" xfId="0" applyAlignment="1" applyFont="1">
      <alignment horizontal="center" readingOrder="0" vertical="top"/>
    </xf>
    <xf borderId="1" fillId="0" fontId="2" numFmtId="0" xfId="0" applyAlignment="1" applyBorder="1" applyFont="1">
      <alignment horizontal="center" readingOrder="0" vertical="top"/>
    </xf>
    <xf borderId="2" fillId="0" fontId="3" numFmtId="0" xfId="0" applyAlignment="1" applyBorder="1" applyFont="1">
      <alignment horizontal="left" vertical="top"/>
    </xf>
    <xf borderId="3" fillId="0" fontId="3" numFmtId="0" xfId="0" applyAlignment="1" applyBorder="1" applyFont="1">
      <alignment horizontal="left" vertical="top"/>
    </xf>
    <xf borderId="4" fillId="0" fontId="3" numFmtId="0" xfId="0" applyAlignment="1" applyBorder="1" applyFont="1">
      <alignment horizontal="left" vertical="top"/>
    </xf>
    <xf borderId="5" fillId="0" fontId="3" numFmtId="0" xfId="0" applyAlignment="1" applyBorder="1" applyFont="1">
      <alignment horizontal="left" vertical="top"/>
    </xf>
    <xf borderId="0" fillId="2" fontId="4" numFmtId="0" xfId="0" applyAlignment="1" applyFill="1" applyFont="1">
      <alignment horizontal="left" readingOrder="0" vertical="top"/>
    </xf>
    <xf borderId="0" fillId="0" fontId="5" numFmtId="0" xfId="0" applyAlignment="1" applyFont="1">
      <alignment horizontal="left" readingOrder="0" vertical="top"/>
    </xf>
    <xf borderId="0" fillId="0" fontId="6" numFmtId="0" xfId="0" applyAlignment="1" applyFont="1">
      <alignment horizontal="left" vertical="top"/>
    </xf>
    <xf borderId="4" fillId="0" fontId="6" numFmtId="0" xfId="0" applyAlignment="1" applyBorder="1" applyFont="1">
      <alignment horizontal="left" vertical="top"/>
    </xf>
    <xf borderId="0" fillId="0" fontId="6" numFmtId="0" xfId="0" applyAlignment="1" applyFont="1">
      <alignment horizontal="left" vertical="top"/>
    </xf>
    <xf borderId="0" fillId="0" fontId="6" numFmtId="0" xfId="0" applyAlignment="1" applyFont="1">
      <alignment horizontal="left" readingOrder="0" vertical="top"/>
    </xf>
    <xf borderId="0" fillId="0" fontId="7" numFmtId="0" xfId="0" applyAlignment="1" applyFont="1">
      <alignment horizontal="left" readingOrder="0" vertical="top"/>
    </xf>
    <xf borderId="6" fillId="0" fontId="4" numFmtId="0" xfId="0" applyAlignment="1" applyBorder="1" applyFont="1">
      <alignment horizontal="left" readingOrder="0" vertical="top"/>
    </xf>
    <xf borderId="7" fillId="0" fontId="3" numFmtId="0" xfId="0" applyAlignment="1" applyBorder="1" applyFont="1">
      <alignment horizontal="left" vertical="top"/>
    </xf>
    <xf borderId="8" fillId="0" fontId="3" numFmtId="0" xfId="0" applyAlignment="1" applyBorder="1" applyFont="1">
      <alignment horizontal="left" vertical="top"/>
    </xf>
    <xf borderId="6" fillId="0" fontId="6" numFmtId="0" xfId="0" applyAlignment="1" applyBorder="1" applyFont="1">
      <alignment horizontal="left" readingOrder="0" vertical="top"/>
    </xf>
    <xf borderId="7" fillId="0" fontId="8" numFmtId="0" xfId="0" applyAlignment="1" applyBorder="1" applyFont="1">
      <alignment horizontal="left" readingOrder="0" vertical="top"/>
    </xf>
    <xf borderId="0" fillId="0" fontId="5" numFmtId="0" xfId="0" applyAlignment="1" applyFont="1">
      <alignment horizontal="left" shrinkToFit="0" vertical="bottom" wrapText="1"/>
    </xf>
    <xf borderId="6" fillId="2" fontId="4" numFmtId="0" xfId="0" applyAlignment="1" applyBorder="1" applyFont="1">
      <alignment horizontal="left" readingOrder="0" vertical="top"/>
    </xf>
    <xf borderId="6" fillId="0" fontId="6" numFmtId="0" xfId="0" applyAlignment="1" applyBorder="1" applyFont="1">
      <alignment horizontal="left" readingOrder="0" vertical="top"/>
    </xf>
    <xf borderId="9" fillId="0" fontId="9" numFmtId="0" xfId="0" applyAlignment="1" applyBorder="1" applyFont="1">
      <alignment horizontal="left" readingOrder="0" vertical="top"/>
    </xf>
    <xf borderId="9" fillId="0" fontId="3" numFmtId="0" xfId="0" applyAlignment="1" applyBorder="1" applyFont="1">
      <alignment horizontal="left" vertical="top"/>
    </xf>
    <xf borderId="10" fillId="0" fontId="3" numFmtId="0" xfId="0" applyAlignment="1" applyBorder="1" applyFont="1">
      <alignment horizontal="left" vertical="top"/>
    </xf>
    <xf borderId="7" fillId="0" fontId="4" numFmtId="0" xfId="0" applyAlignment="1" applyBorder="1" applyFont="1">
      <alignment horizontal="left" readingOrder="0" vertical="top"/>
    </xf>
    <xf borderId="7" fillId="0" fontId="6" numFmtId="0" xfId="0" applyAlignment="1" applyBorder="1" applyFont="1">
      <alignment horizontal="left" readingOrder="0" vertical="top"/>
    </xf>
    <xf borderId="4" fillId="0" fontId="7" numFmtId="0" xfId="0" applyAlignment="1" applyBorder="1" applyFont="1">
      <alignment horizontal="left" readingOrder="0" vertical="top"/>
    </xf>
    <xf borderId="9" fillId="0" fontId="8" numFmtId="0" xfId="0" applyAlignment="1" applyBorder="1" applyFont="1">
      <alignment horizontal="left" readingOrder="0" vertical="top"/>
    </xf>
    <xf borderId="11" fillId="0" fontId="6" numFmtId="0" xfId="0" applyAlignment="1" applyBorder="1" applyFont="1">
      <alignment horizontal="left" readingOrder="0" vertical="top"/>
    </xf>
    <xf borderId="8" fillId="0" fontId="6" numFmtId="0" xfId="0" applyAlignment="1" applyBorder="1" applyFont="1">
      <alignment horizontal="left" readingOrder="0" vertical="top"/>
    </xf>
    <xf borderId="1" fillId="2" fontId="4" numFmtId="0" xfId="0" applyAlignment="1" applyBorder="1" applyFont="1">
      <alignment horizontal="left" readingOrder="0" vertical="top"/>
    </xf>
    <xf borderId="9" fillId="0" fontId="6" numFmtId="0" xfId="0" applyAlignment="1" applyBorder="1" applyFont="1">
      <alignment horizontal="left" readingOrder="0" vertical="top"/>
    </xf>
    <xf borderId="1" fillId="0" fontId="6" numFmtId="0" xfId="0" applyAlignment="1" applyBorder="1" applyFont="1">
      <alignment horizontal="left" readingOrder="0" vertical="top"/>
    </xf>
    <xf borderId="2" fillId="0" fontId="6" numFmtId="0" xfId="0" applyAlignment="1" applyBorder="1" applyFont="1">
      <alignment horizontal="left" readingOrder="0" vertical="top"/>
    </xf>
    <xf borderId="11" fillId="0" fontId="3" numFmtId="0" xfId="0" applyAlignment="1" applyBorder="1" applyFont="1">
      <alignment horizontal="left" vertical="top"/>
    </xf>
    <xf borderId="12" fillId="0" fontId="6" numFmtId="0" xfId="0" applyAlignment="1" applyBorder="1" applyFont="1">
      <alignment horizontal="left" readingOrder="0" vertical="top"/>
    </xf>
    <xf borderId="12" fillId="0" fontId="6" numFmtId="0" xfId="0" applyAlignment="1" applyBorder="1" applyFont="1">
      <alignment horizontal="left" vertical="top"/>
    </xf>
    <xf borderId="9" fillId="0" fontId="6" numFmtId="0" xfId="0" applyAlignment="1" applyBorder="1" applyFont="1">
      <alignment horizontal="left" vertical="top"/>
    </xf>
    <xf borderId="9" fillId="2" fontId="4" numFmtId="0" xfId="0" applyAlignment="1" applyBorder="1" applyFont="1">
      <alignment horizontal="left" readingOrder="0" vertical="top"/>
    </xf>
    <xf borderId="6" fillId="0" fontId="6" numFmtId="0" xfId="0" applyAlignment="1" applyBorder="1" applyFont="1">
      <alignment horizontal="left" vertical="top"/>
    </xf>
    <xf borderId="11" fillId="0" fontId="6" numFmtId="0" xfId="0" applyAlignment="1" applyBorder="1" applyFont="1">
      <alignment horizontal="left" vertical="top"/>
    </xf>
    <xf borderId="4" fillId="0" fontId="6" numFmtId="0" xfId="0" applyAlignment="1" applyBorder="1" applyFont="1">
      <alignment horizontal="left" vertical="top"/>
    </xf>
    <xf borderId="1" fillId="0" fontId="6" numFmtId="0" xfId="0" applyAlignment="1" applyBorder="1" applyFont="1">
      <alignment horizontal="left" vertical="top"/>
    </xf>
    <xf borderId="7" fillId="2" fontId="4" numFmtId="0" xfId="0" applyAlignment="1" applyBorder="1" applyFont="1">
      <alignment horizontal="left" readingOrder="0" vertical="top"/>
    </xf>
    <xf borderId="0" fillId="2" fontId="4" numFmtId="0" xfId="0" applyAlignment="1" applyFont="1">
      <alignment horizontal="left" readingOrder="0" vertical="top"/>
    </xf>
    <xf borderId="7" fillId="0" fontId="6" numFmtId="0" xfId="0" applyAlignment="1" applyBorder="1" applyFont="1">
      <alignment horizontal="left" vertical="top"/>
    </xf>
    <xf borderId="0" fillId="0" fontId="8" numFmtId="0" xfId="0" applyAlignment="1" applyFont="1">
      <alignment horizontal="left" readingOrder="0" vertical="top"/>
    </xf>
    <xf borderId="8" fillId="0" fontId="6" numFmtId="0" xfId="0" applyAlignment="1" applyBorder="1" applyFont="1">
      <alignment horizontal="left" vertical="top"/>
    </xf>
    <xf borderId="2" fillId="0" fontId="6" numFmtId="0" xfId="0" applyAlignment="1" applyBorder="1" applyFont="1">
      <alignment horizontal="left" vertical="top"/>
    </xf>
    <xf borderId="6" fillId="0" fontId="6" numFmtId="0" xfId="0" applyAlignment="1" applyBorder="1" applyFont="1">
      <alignment horizontal="center" readingOrder="0" vertical="top"/>
    </xf>
    <xf borderId="4" fillId="0" fontId="6" numFmtId="0" xfId="0" applyAlignment="1" applyBorder="1" applyFont="1">
      <alignment horizontal="left"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4.29"/>
    <col customWidth="1" min="3" max="3" width="10.57"/>
    <col customWidth="1" min="4" max="4" width="9.71"/>
    <col customWidth="1" min="5" max="5" width="11.0"/>
    <col customWidth="1" min="6" max="6" width="2.86"/>
    <col customWidth="1" min="7" max="7" width="3.57"/>
    <col customWidth="1" min="8" max="8" width="6.14"/>
    <col customWidth="1" min="9" max="9" width="2.57"/>
    <col customWidth="1" min="10" max="10" width="9.0"/>
    <col customWidth="1" min="11" max="11" width="3.86"/>
    <col customWidth="1" min="12" max="12" width="4.71"/>
    <col customWidth="1" min="13" max="13" width="3.71"/>
    <col customWidth="1" min="14" max="14" width="3.29"/>
    <col customWidth="1" min="15" max="16" width="3.86"/>
    <col customWidth="1" min="17" max="17" width="18.86"/>
    <col customWidth="1" min="18" max="18" width="17.86"/>
    <col customWidth="1" min="19" max="19" width="13.57"/>
    <col customWidth="1" min="20" max="20" width="3.43"/>
    <col customWidth="1" min="21" max="22" width="3.29"/>
    <col customWidth="1" min="23" max="23" width="6.0"/>
    <col customWidth="1" min="24" max="24" width="10.0"/>
    <col customWidth="1" min="25" max="25" width="12.43"/>
    <col customWidth="1" min="26" max="26" width="30.86"/>
  </cols>
  <sheetData>
    <row r="2">
      <c r="A2" s="1" t="s">
        <v>0</v>
      </c>
    </row>
    <row r="3">
      <c r="A3" s="1" t="s">
        <v>1</v>
      </c>
    </row>
    <row r="4">
      <c r="A4" s="2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4"/>
    </row>
    <row r="5">
      <c r="A5" s="5"/>
      <c r="Y5" s="6"/>
    </row>
    <row r="6">
      <c r="A6" s="7" t="s">
        <v>3</v>
      </c>
      <c r="Y6" s="6"/>
      <c r="Z6" s="8"/>
    </row>
    <row r="7">
      <c r="A7" s="9"/>
      <c r="B7" s="10" t="str">
        <f>IF(LOWER(TRIM($Z$7))="new_applicant","☑","☐")</f>
        <v>☐</v>
      </c>
      <c r="C7" s="11" t="s">
        <v>4</v>
      </c>
      <c r="K7" s="6"/>
      <c r="L7" s="11" t="str">
        <f>IF(LOWER(TRIM($Z$7))="renewal","☑","☐")</f>
        <v>☐</v>
      </c>
      <c r="N7" s="12" t="s">
        <v>5</v>
      </c>
      <c r="Y7" s="6"/>
      <c r="Z7" s="13" t="s">
        <v>6</v>
      </c>
    </row>
    <row r="8">
      <c r="A8" s="14" t="s">
        <v>7</v>
      </c>
      <c r="B8" s="15"/>
      <c r="C8" s="15"/>
      <c r="D8" s="16"/>
      <c r="E8" s="17" t="s">
        <v>8</v>
      </c>
      <c r="F8" s="15"/>
      <c r="G8" s="15"/>
      <c r="H8" s="15"/>
      <c r="I8" s="15"/>
      <c r="J8" s="15"/>
      <c r="K8" s="16"/>
      <c r="L8" s="14" t="s">
        <v>9</v>
      </c>
      <c r="M8" s="15"/>
      <c r="N8" s="15"/>
      <c r="O8" s="16"/>
      <c r="P8" s="18" t="s">
        <v>10</v>
      </c>
      <c r="Q8" s="15"/>
      <c r="R8" s="15"/>
      <c r="S8" s="15"/>
      <c r="T8" s="15"/>
      <c r="U8" s="15"/>
      <c r="V8" s="15"/>
      <c r="W8" s="15"/>
      <c r="X8" s="15"/>
      <c r="Y8" s="16"/>
      <c r="Z8" s="8" t="s">
        <v>11</v>
      </c>
      <c r="AA8" s="19"/>
    </row>
    <row r="9">
      <c r="A9" s="20" t="s">
        <v>12</v>
      </c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6"/>
      <c r="Z9" s="13" t="s">
        <v>13</v>
      </c>
    </row>
    <row r="10">
      <c r="A10" s="21" t="s">
        <v>14</v>
      </c>
      <c r="B10" s="15"/>
      <c r="C10" s="16"/>
      <c r="D10" s="21" t="s">
        <v>15</v>
      </c>
      <c r="E10" s="15"/>
      <c r="F10" s="16"/>
      <c r="G10" s="21" t="s">
        <v>16</v>
      </c>
      <c r="H10" s="15"/>
      <c r="I10" s="16"/>
      <c r="J10" s="22" t="s">
        <v>17</v>
      </c>
      <c r="K10" s="23"/>
      <c r="L10" s="23"/>
      <c r="M10" s="23"/>
      <c r="N10" s="24"/>
      <c r="O10" s="25" t="s">
        <v>18</v>
      </c>
      <c r="P10" s="15"/>
      <c r="Q10" s="15"/>
      <c r="R10" s="16"/>
      <c r="S10" s="26" t="str">
        <f>IF(LOWER(TRIM($Z$8))="male","☑","☐")</f>
        <v>☐</v>
      </c>
      <c r="T10" s="26" t="s">
        <v>19</v>
      </c>
      <c r="U10" s="16"/>
      <c r="V10" s="26" t="str">
        <f>IF(LOWER(TRIM($Z$8))="female","☑","☐")</f>
        <v>☐</v>
      </c>
      <c r="W10" s="26" t="s">
        <v>20</v>
      </c>
      <c r="X10" s="15"/>
      <c r="Y10" s="15"/>
      <c r="Z10" s="27" t="s">
        <v>21</v>
      </c>
    </row>
    <row r="11">
      <c r="A11" s="21" t="s">
        <v>22</v>
      </c>
      <c r="B11" s="15"/>
      <c r="C11" s="16"/>
      <c r="D11" s="21" t="s">
        <v>23</v>
      </c>
      <c r="E11" s="15"/>
      <c r="F11" s="16"/>
      <c r="G11" s="21" t="s">
        <v>24</v>
      </c>
      <c r="H11" s="15"/>
      <c r="I11" s="16"/>
      <c r="J11" s="28" t="s">
        <v>25</v>
      </c>
      <c r="K11" s="23"/>
      <c r="L11" s="23"/>
      <c r="M11" s="23"/>
      <c r="N11" s="24"/>
      <c r="O11" s="20" t="s">
        <v>26</v>
      </c>
      <c r="P11" s="15"/>
      <c r="Q11" s="15"/>
      <c r="R11" s="15"/>
      <c r="S11" s="15"/>
      <c r="T11" s="15"/>
      <c r="U11" s="15"/>
      <c r="V11" s="15"/>
      <c r="W11" s="15"/>
      <c r="X11" s="15"/>
      <c r="Y11" s="16"/>
      <c r="Z11" s="13" t="s">
        <v>27</v>
      </c>
    </row>
    <row r="12">
      <c r="A12" s="29" t="s">
        <v>28</v>
      </c>
      <c r="B12" s="23"/>
      <c r="C12" s="23"/>
      <c r="D12" s="21" t="s">
        <v>29</v>
      </c>
      <c r="E12" s="15"/>
      <c r="F12" s="15"/>
      <c r="G12" s="15"/>
      <c r="H12" s="15"/>
      <c r="I12" s="15"/>
      <c r="J12" s="15"/>
      <c r="K12" s="15"/>
      <c r="L12" s="15"/>
      <c r="M12" s="15"/>
      <c r="N12" s="16"/>
      <c r="O12" s="26" t="str">
        <f>IF(LOWER(TRIM($Z$9))="single","☑","☐")</f>
        <v>☐</v>
      </c>
      <c r="P12" s="26" t="s">
        <v>30</v>
      </c>
      <c r="Q12" s="15"/>
      <c r="R12" s="16"/>
      <c r="S12" s="26" t="str">
        <f>IF(LOWER(TRIM($Z$9))="married","☑","☐") </f>
        <v>☐</v>
      </c>
      <c r="T12" s="26" t="s">
        <v>31</v>
      </c>
      <c r="U12" s="15"/>
      <c r="V12" s="15"/>
      <c r="W12" s="15"/>
      <c r="X12" s="15"/>
      <c r="Y12" s="16"/>
      <c r="Z12" s="13" t="s">
        <v>32</v>
      </c>
    </row>
    <row r="13">
      <c r="A13" s="9"/>
      <c r="N13" s="6"/>
      <c r="O13" s="26" t="str">
        <f>IF(LOWER(TRIM($Z$9))="separated","☑","☐")</f>
        <v>☐</v>
      </c>
      <c r="P13" s="26" t="s">
        <v>33</v>
      </c>
      <c r="Q13" s="30"/>
      <c r="R13" s="26" t="str">
        <f>IF(LOWER(TRIM($Z$9))="widowed","☑","☐")</f>
        <v>☐</v>
      </c>
      <c r="S13" s="30" t="s">
        <v>34</v>
      </c>
      <c r="T13" s="26" t="str">
        <f>IF(LOWER(TRIM($Z$9))="cohabitation_livein","☑","☐")
</f>
        <v>☐</v>
      </c>
      <c r="U13" s="15"/>
      <c r="V13" s="15"/>
      <c r="W13" s="26" t="s">
        <v>35</v>
      </c>
      <c r="X13" s="15"/>
      <c r="Y13" s="16"/>
      <c r="Z13" s="13" t="s">
        <v>36</v>
      </c>
    </row>
    <row r="14">
      <c r="A14" s="20" t="s">
        <v>37</v>
      </c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6"/>
      <c r="M14" s="31" t="s">
        <v>38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4"/>
      <c r="Z14" s="13" t="s">
        <v>39</v>
      </c>
    </row>
    <row r="15">
      <c r="A15" s="21" t="str">
        <f>IF(ISNUMBER(SEARCH("deaf_or_hard_of_hearing",LOWER($Z$10))),"☑","☐")</f>
        <v>☐</v>
      </c>
      <c r="B15" s="32" t="s">
        <v>40</v>
      </c>
      <c r="C15" s="23"/>
      <c r="D15" s="23"/>
      <c r="E15" s="24"/>
      <c r="F15" s="26" t="str">
        <f>IF(ISNUMBER(SEARCH("psychosocial_disability",LOWER($Z$10))),"☑","☐")</f>
        <v>☐</v>
      </c>
      <c r="G15" s="32" t="s">
        <v>41</v>
      </c>
      <c r="H15" s="23"/>
      <c r="I15" s="23"/>
      <c r="J15" s="23"/>
      <c r="K15" s="23"/>
      <c r="L15" s="24"/>
      <c r="M15" s="33" t="str">
        <f>IF(ISNUMBER(SEARCH("autism",LOWER($Z$11))),"☑","☐")</f>
        <v>☐</v>
      </c>
      <c r="N15" s="3"/>
      <c r="O15" s="34" t="s">
        <v>42</v>
      </c>
      <c r="P15" s="3"/>
      <c r="Q15" s="3"/>
      <c r="R15" s="3"/>
      <c r="S15" s="4"/>
      <c r="T15" s="33" t="str">
        <f>IF(ISNUMBER(SEARCH("down_syndrome",LOWER($Z$11))),"☑","☐")</f>
        <v>☐</v>
      </c>
      <c r="U15" s="3"/>
      <c r="V15" s="34" t="s">
        <v>43</v>
      </c>
      <c r="W15" s="3"/>
      <c r="X15" s="3"/>
      <c r="Y15" s="4"/>
      <c r="Z15" s="13" t="s">
        <v>44</v>
      </c>
    </row>
    <row r="16">
      <c r="A16" s="21" t="str">
        <f>IF(ISNUMBER(SEARCH("intellectual_disability",LOWER($Z$10))),"☑","☐")</f>
        <v>☐</v>
      </c>
      <c r="B16" s="32" t="s">
        <v>45</v>
      </c>
      <c r="C16" s="23"/>
      <c r="D16" s="23"/>
      <c r="E16" s="24"/>
      <c r="F16" s="26" t="str">
        <f>IF(ISNUMBER(SEARCH("speech_and_language_impairment",LOWER($Z$10))),"☑","☐")</f>
        <v>☐</v>
      </c>
      <c r="G16" s="32" t="s">
        <v>46</v>
      </c>
      <c r="H16" s="23"/>
      <c r="I16" s="23"/>
      <c r="J16" s="23"/>
      <c r="K16" s="23"/>
      <c r="L16" s="24"/>
      <c r="M16" s="35"/>
      <c r="N16" s="23"/>
      <c r="O16" s="23"/>
      <c r="P16" s="23"/>
      <c r="Q16" s="23"/>
      <c r="R16" s="23"/>
      <c r="S16" s="24"/>
      <c r="T16" s="35"/>
      <c r="U16" s="23"/>
      <c r="V16" s="23"/>
      <c r="W16" s="23"/>
      <c r="X16" s="23"/>
      <c r="Y16" s="24"/>
      <c r="Z16" s="13" t="s">
        <v>47</v>
      </c>
    </row>
    <row r="17">
      <c r="A17" s="21" t="str">
        <f>IF(ISNUMBER(SEARCH("learning_disability",LOWER($Z$10))),"☑","☐")</f>
        <v>☐</v>
      </c>
      <c r="B17" s="32" t="s">
        <v>48</v>
      </c>
      <c r="C17" s="23"/>
      <c r="D17" s="23"/>
      <c r="E17" s="24"/>
      <c r="F17" s="26" t="str">
        <f>IF(ISNUMBER(SEARCH("visual_disability",LOWER($Z$10))),"☑","☐")</f>
        <v>☐</v>
      </c>
      <c r="G17" s="32" t="s">
        <v>49</v>
      </c>
      <c r="H17" s="23"/>
      <c r="I17" s="23"/>
      <c r="J17" s="23"/>
      <c r="K17" s="23"/>
      <c r="L17" s="24"/>
      <c r="M17" s="12" t="str">
        <f>IF(ISNUMBER(SEARCH("adhd",LOWER($Z11))),"☑","☐")</f>
        <v>☐</v>
      </c>
      <c r="O17" s="12" t="s">
        <v>50</v>
      </c>
      <c r="S17" s="6"/>
      <c r="T17" s="12" t="str">
        <f>IF(ISNUMBER(SEARCH("chronic_illness",LOWER($Z$11))),"☑","☐")</f>
        <v>☐</v>
      </c>
      <c r="V17" s="12" t="s">
        <v>51</v>
      </c>
      <c r="Y17" s="6"/>
      <c r="Z17" s="13" t="s">
        <v>52</v>
      </c>
    </row>
    <row r="18">
      <c r="A18" s="21" t="str">
        <f>IF(ISNUMBER(SEARCH("mental_disability",LOWER($Z$10))),"☑","☐")</f>
        <v>☐</v>
      </c>
      <c r="B18" s="32" t="s">
        <v>53</v>
      </c>
      <c r="C18" s="23"/>
      <c r="D18" s="23"/>
      <c r="E18" s="24"/>
      <c r="F18" s="26" t="str">
        <f>IF(ISNUMBER(SEARCH("cancer",LOWER($Z$10))),"☑","☐")</f>
        <v>☐</v>
      </c>
      <c r="G18" s="32" t="s">
        <v>54</v>
      </c>
      <c r="H18" s="23"/>
      <c r="I18" s="23"/>
      <c r="J18" s="23"/>
      <c r="K18" s="23"/>
      <c r="L18" s="24"/>
      <c r="M18" s="23"/>
      <c r="N18" s="23"/>
      <c r="O18" s="23"/>
      <c r="P18" s="23"/>
      <c r="Q18" s="23"/>
      <c r="R18" s="23"/>
      <c r="S18" s="24"/>
      <c r="T18" s="23"/>
      <c r="U18" s="23"/>
      <c r="V18" s="23"/>
      <c r="W18" s="23"/>
      <c r="X18" s="23"/>
      <c r="Y18" s="24"/>
    </row>
    <row r="19">
      <c r="A19" s="21" t="str">
        <f>IF(ISNUMBER(SEARCH("physical_disability",LOWER($Z$10))),"☑","☐")</f>
        <v>☐</v>
      </c>
      <c r="B19" s="32" t="s">
        <v>55</v>
      </c>
      <c r="C19" s="23"/>
      <c r="D19" s="23"/>
      <c r="E19" s="24"/>
      <c r="F19" s="26" t="str">
        <f>IF(ISNUMBER(SEARCH("rare_disease",LOWER($Z$10))),"☑","☐")</f>
        <v>☐</v>
      </c>
      <c r="G19" s="32" t="s">
        <v>56</v>
      </c>
      <c r="H19" s="23"/>
      <c r="I19" s="23"/>
      <c r="J19" s="23"/>
      <c r="K19" s="23"/>
      <c r="L19" s="24"/>
      <c r="M19" s="32" t="str">
        <f>IF(ISNUMBER(SEARCH("cerebral_palsy",LOWER($Z$11))),"☑","☐")</f>
        <v>☐</v>
      </c>
      <c r="N19" s="23"/>
      <c r="O19" s="32" t="s">
        <v>57</v>
      </c>
      <c r="P19" s="23"/>
      <c r="Q19" s="23"/>
      <c r="R19" s="23"/>
      <c r="S19" s="24"/>
      <c r="T19" s="12" t="str">
        <f>IF(ISNUMBER(SEARCH("injury",LOWER($Z$11))),"☑","☐")</f>
        <v>☐</v>
      </c>
      <c r="V19" s="12" t="s">
        <v>58</v>
      </c>
      <c r="Y19" s="6"/>
    </row>
    <row r="20">
      <c r="A20" s="20" t="s">
        <v>59</v>
      </c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6"/>
      <c r="M20" s="20" t="s">
        <v>60</v>
      </c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6"/>
    </row>
    <row r="21">
      <c r="A21" s="36" t="s">
        <v>61</v>
      </c>
      <c r="B21" s="37"/>
      <c r="C21" s="37"/>
      <c r="D21" s="21" t="s">
        <v>62</v>
      </c>
      <c r="E21" s="15"/>
      <c r="F21" s="16"/>
      <c r="G21" s="21" t="s">
        <v>63</v>
      </c>
      <c r="H21" s="15"/>
      <c r="I21" s="16"/>
      <c r="J21" s="28" t="s">
        <v>64</v>
      </c>
      <c r="K21" s="23"/>
      <c r="L21" s="24"/>
      <c r="M21" s="21" t="s">
        <v>65</v>
      </c>
      <c r="N21" s="15"/>
      <c r="O21" s="15"/>
      <c r="P21" s="16"/>
      <c r="Q21" s="28" t="s">
        <v>66</v>
      </c>
      <c r="R21" s="23"/>
      <c r="S21" s="24"/>
      <c r="T21" s="21" t="s">
        <v>67</v>
      </c>
      <c r="U21" s="15"/>
      <c r="V21" s="15"/>
      <c r="W21" s="16"/>
      <c r="X21" s="21" t="s">
        <v>68</v>
      </c>
      <c r="Y21" s="16"/>
    </row>
    <row r="22">
      <c r="A22" s="21" t="s">
        <v>69</v>
      </c>
      <c r="B22" s="15"/>
      <c r="C22" s="16"/>
      <c r="D22" s="28" t="s">
        <v>70</v>
      </c>
      <c r="E22" s="23"/>
      <c r="F22" s="24"/>
      <c r="G22" s="21" t="s">
        <v>71</v>
      </c>
      <c r="H22" s="15"/>
      <c r="I22" s="16"/>
      <c r="J22" s="28" t="s">
        <v>72</v>
      </c>
      <c r="K22" s="23"/>
      <c r="L22" s="24"/>
      <c r="M22" s="21" t="s">
        <v>73</v>
      </c>
      <c r="N22" s="15"/>
      <c r="O22" s="15"/>
      <c r="P22" s="16"/>
      <c r="Q22" s="28" t="s">
        <v>74</v>
      </c>
      <c r="R22" s="23"/>
      <c r="S22" s="24"/>
      <c r="T22" s="21"/>
      <c r="U22" s="15"/>
      <c r="V22" s="15"/>
      <c r="W22" s="15"/>
      <c r="X22" s="15"/>
      <c r="Y22" s="16"/>
    </row>
    <row r="23">
      <c r="A23" s="21" t="s">
        <v>75</v>
      </c>
      <c r="B23" s="15"/>
      <c r="C23" s="16"/>
      <c r="D23" s="28" t="s">
        <v>76</v>
      </c>
      <c r="E23" s="23"/>
      <c r="F23" s="24"/>
      <c r="G23" s="38"/>
      <c r="H23" s="23"/>
      <c r="I23" s="23"/>
      <c r="J23" s="23"/>
      <c r="K23" s="23"/>
      <c r="L23" s="24"/>
      <c r="M23" s="20" t="s">
        <v>77</v>
      </c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6"/>
    </row>
    <row r="24">
      <c r="A24" s="39" t="s">
        <v>78</v>
      </c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4"/>
      <c r="M24" s="40" t="str">
        <f>IF(LOWER(TRIM($Z$13))="manager","☑","☐")</f>
        <v>☐</v>
      </c>
      <c r="N24" s="26" t="s">
        <v>79</v>
      </c>
      <c r="O24" s="15"/>
      <c r="P24" s="15"/>
      <c r="Q24" s="15"/>
      <c r="R24" s="15"/>
      <c r="S24" s="16"/>
      <c r="T24" s="40" t="str">
        <f>IF(LOWER(TRIM($Z$13))="craft_related_trade_workers","☑","☐")</f>
        <v>☐</v>
      </c>
      <c r="U24" s="26" t="s">
        <v>80</v>
      </c>
      <c r="V24" s="15"/>
      <c r="W24" s="15"/>
      <c r="X24" s="15"/>
      <c r="Y24" s="16"/>
    </row>
    <row r="25">
      <c r="A25" s="38" t="str">
        <f>IF(LOWER(TRIM($Z$12))="none","☑","☐")</f>
        <v>☐</v>
      </c>
      <c r="B25" s="32" t="s">
        <v>81</v>
      </c>
      <c r="C25" s="23"/>
      <c r="D25" s="23"/>
      <c r="E25" s="24"/>
      <c r="F25" s="40" t="str">
        <f>IF(LOWER(TRIM($Z$12))="senior_high_school","☑","☐")</f>
        <v>☐</v>
      </c>
      <c r="G25" s="26" t="s">
        <v>82</v>
      </c>
      <c r="H25" s="15"/>
      <c r="I25" s="15"/>
      <c r="J25" s="15"/>
      <c r="K25" s="15"/>
      <c r="L25" s="16"/>
      <c r="M25" s="41" t="str">
        <f>IF(LOWER(TRIM($Z$13))="professional","☑","☐")</f>
        <v>☐</v>
      </c>
      <c r="N25" s="32" t="s">
        <v>83</v>
      </c>
      <c r="O25" s="23"/>
      <c r="P25" s="23"/>
      <c r="Q25" s="23"/>
      <c r="R25" s="23"/>
      <c r="S25" s="24"/>
      <c r="T25" s="41" t="str">
        <f>IF(LOWER(TRIM($Z$13))="plant_machine_operators","☑","☐")</f>
        <v>☐</v>
      </c>
      <c r="U25" s="32" t="s">
        <v>84</v>
      </c>
      <c r="V25" s="23"/>
      <c r="W25" s="23"/>
      <c r="X25" s="23"/>
      <c r="Y25" s="24"/>
    </row>
    <row r="26">
      <c r="A26" s="38" t="str">
        <f>IF(LOWER(TRIM($Z$12))="kindergarten","☑","☐")</f>
        <v>☐</v>
      </c>
      <c r="B26" s="32" t="s">
        <v>85</v>
      </c>
      <c r="C26" s="23"/>
      <c r="D26" s="23"/>
      <c r="E26" s="24"/>
      <c r="F26" s="40" t="str">
        <f>IF(LOWER(TRIM($Z$12))="college","☑","☐")</f>
        <v>☐</v>
      </c>
      <c r="G26" s="26" t="s">
        <v>86</v>
      </c>
      <c r="H26" s="15"/>
      <c r="I26" s="15"/>
      <c r="J26" s="15"/>
      <c r="K26" s="15"/>
      <c r="L26" s="16"/>
      <c r="M26" s="41" t="str">
        <f>IF(LOWER(TRIM($Z$13))="technicians_associate_professionals","☑","☐")</f>
        <v>☐</v>
      </c>
      <c r="N26" s="32" t="s">
        <v>87</v>
      </c>
      <c r="O26" s="23"/>
      <c r="P26" s="23"/>
      <c r="Q26" s="23"/>
      <c r="R26" s="23"/>
      <c r="S26" s="24"/>
      <c r="T26" s="42" t="str">
        <f>IF(LOWER(TRIM($Z$13))="elementary_occupations","☑","☐")</f>
        <v>☐</v>
      </c>
      <c r="U26" s="12" t="s">
        <v>88</v>
      </c>
      <c r="Y26" s="6"/>
    </row>
    <row r="27">
      <c r="A27" s="38" t="str">
        <f>IF(LOWER(TRIM($Z$12))="elementary","☑","☐")</f>
        <v>☐</v>
      </c>
      <c r="B27" s="32" t="s">
        <v>89</v>
      </c>
      <c r="C27" s="23"/>
      <c r="D27" s="23"/>
      <c r="E27" s="24"/>
      <c r="F27" s="40" t="str">
        <f>IF(LOWER(TRIM($Z$12))="vocational","☑","☐")</f>
        <v>☐</v>
      </c>
      <c r="G27" s="26" t="s">
        <v>90</v>
      </c>
      <c r="H27" s="15"/>
      <c r="I27" s="15"/>
      <c r="J27" s="15"/>
      <c r="K27" s="15"/>
      <c r="L27" s="16"/>
      <c r="M27" s="41" t="str">
        <f>IF(LOWER(TRIM($Z$13))="clerical_support_workers","☑","☐")</f>
        <v>☐</v>
      </c>
      <c r="N27" s="32" t="s">
        <v>91</v>
      </c>
      <c r="O27" s="23"/>
      <c r="P27" s="23"/>
      <c r="Q27" s="23"/>
      <c r="R27" s="23"/>
      <c r="S27" s="24"/>
      <c r="T27" s="35"/>
      <c r="U27" s="23"/>
      <c r="V27" s="23"/>
      <c r="W27" s="23"/>
      <c r="X27" s="23"/>
      <c r="Y27" s="24"/>
    </row>
    <row r="28">
      <c r="A28" s="9" t="str">
        <f>IF(LOWER(TRIM($Z$12))="junior_high_school","☑","☐")</f>
        <v>☐</v>
      </c>
      <c r="B28" s="12" t="s">
        <v>92</v>
      </c>
      <c r="E28" s="6"/>
      <c r="F28" s="43" t="str">
        <f>IF(LOWER(TRIM($Z$12))="post_graduate","☑","☐")</f>
        <v>☐</v>
      </c>
      <c r="G28" s="34" t="s">
        <v>93</v>
      </c>
      <c r="H28" s="3"/>
      <c r="I28" s="3"/>
      <c r="J28" s="3"/>
      <c r="K28" s="3"/>
      <c r="L28" s="4"/>
      <c r="M28" s="41" t="str">
        <f>IF(LOWER(TRIM($Z$13))="service_sales_workers","☑","☐")</f>
        <v>☐</v>
      </c>
      <c r="N28" s="32" t="s">
        <v>94</v>
      </c>
      <c r="O28" s="23"/>
      <c r="P28" s="23"/>
      <c r="Q28" s="23"/>
      <c r="R28" s="23"/>
      <c r="S28" s="24"/>
      <c r="T28" s="42" t="str">
        <f>IF(LOWER(TRIM($Z$13))="armed_forces_occupation","☑","☐")</f>
        <v>☐</v>
      </c>
      <c r="U28" s="12" t="s">
        <v>95</v>
      </c>
      <c r="Y28" s="6"/>
    </row>
    <row r="29">
      <c r="A29" s="23"/>
      <c r="B29" s="23"/>
      <c r="C29" s="23"/>
      <c r="D29" s="23"/>
      <c r="E29" s="24"/>
      <c r="F29" s="35"/>
      <c r="G29" s="23"/>
      <c r="H29" s="23"/>
      <c r="I29" s="23"/>
      <c r="J29" s="23"/>
      <c r="K29" s="23"/>
      <c r="L29" s="24"/>
      <c r="M29" s="41" t="str">
        <f>IF(LOWER(TRIM($Z$13))="skilled_agricultural_worker","☑","☐")</f>
        <v>☐</v>
      </c>
      <c r="N29" s="32" t="s">
        <v>96</v>
      </c>
      <c r="O29" s="23"/>
      <c r="P29" s="23"/>
      <c r="Q29" s="23"/>
      <c r="R29" s="23"/>
      <c r="S29" s="24"/>
      <c r="T29" s="35"/>
      <c r="U29" s="23"/>
      <c r="V29" s="23"/>
      <c r="W29" s="23"/>
      <c r="X29" s="23"/>
      <c r="Y29" s="24"/>
    </row>
    <row r="30">
      <c r="A30" s="20" t="s">
        <v>97</v>
      </c>
      <c r="B30" s="15"/>
      <c r="C30" s="15"/>
      <c r="D30" s="15"/>
      <c r="E30" s="16"/>
      <c r="F30" s="44" t="s">
        <v>98</v>
      </c>
      <c r="G30" s="15"/>
      <c r="H30" s="15"/>
      <c r="I30" s="15"/>
      <c r="J30" s="15"/>
      <c r="K30" s="15"/>
      <c r="L30" s="16"/>
      <c r="M30" s="45" t="s">
        <v>99</v>
      </c>
      <c r="S30" s="6"/>
      <c r="T30" s="45" t="s">
        <v>100</v>
      </c>
      <c r="Y30" s="6"/>
    </row>
    <row r="31">
      <c r="A31" s="41" t="str">
        <f>IF(LOWER(TRIM($Z$14))="employed","☑","☐")</f>
        <v>☐</v>
      </c>
      <c r="B31" s="32" t="s">
        <v>101</v>
      </c>
      <c r="C31" s="23"/>
      <c r="D31" s="23"/>
      <c r="E31" s="24"/>
      <c r="F31" s="40" t="str">
        <f>IF(LOWER(TRIM($Z$15))="permanent_regular","☑","☐")</f>
        <v>☐</v>
      </c>
      <c r="G31" s="26" t="s">
        <v>102</v>
      </c>
      <c r="H31" s="15"/>
      <c r="I31" s="15"/>
      <c r="J31" s="15"/>
      <c r="K31" s="15"/>
      <c r="L31" s="16"/>
      <c r="M31" s="26" t="s">
        <v>103</v>
      </c>
      <c r="N31" s="15"/>
      <c r="O31" s="15"/>
      <c r="P31" s="15"/>
      <c r="Q31" s="16"/>
      <c r="R31" s="26" t="s">
        <v>104</v>
      </c>
      <c r="S31" s="16"/>
      <c r="T31" s="46" t="str">
        <f>IF(LOWER(TRIM($Z$16))="government","☑","☐")</f>
        <v>☐</v>
      </c>
      <c r="U31" s="26" t="s">
        <v>105</v>
      </c>
      <c r="V31" s="15"/>
      <c r="W31" s="15"/>
      <c r="X31" s="15"/>
      <c r="Y31" s="16"/>
    </row>
    <row r="32">
      <c r="A32" s="41" t="str">
        <f>IF(LOWER(TRIM($Z$14))="unemployed","☑","☐")</f>
        <v>☐</v>
      </c>
      <c r="B32" s="32" t="s">
        <v>106</v>
      </c>
      <c r="C32" s="23"/>
      <c r="D32" s="23"/>
      <c r="E32" s="24"/>
      <c r="F32" s="41" t="str">
        <f>IF(LOWER(TRIM($Z$15))="seasonal","☑","☐")</f>
        <v>☐</v>
      </c>
      <c r="G32" s="32" t="s">
        <v>107</v>
      </c>
      <c r="H32" s="23"/>
      <c r="I32" s="23"/>
      <c r="J32" s="23"/>
      <c r="K32" s="23"/>
      <c r="L32" s="24"/>
      <c r="M32" s="26" t="s">
        <v>108</v>
      </c>
      <c r="N32" s="15"/>
      <c r="O32" s="15"/>
      <c r="P32" s="15"/>
      <c r="Q32" s="16"/>
      <c r="R32" s="26" t="s">
        <v>109</v>
      </c>
      <c r="S32" s="16"/>
      <c r="T32" s="46" t="str">
        <f>IF(LOWER(TRIM($Z$16))="private","☑","☐")</f>
        <v>☐</v>
      </c>
      <c r="U32" s="26" t="s">
        <v>110</v>
      </c>
      <c r="V32" s="15"/>
      <c r="W32" s="15"/>
      <c r="X32" s="15"/>
      <c r="Y32" s="16"/>
    </row>
    <row r="33">
      <c r="A33" s="41" t="str">
        <f>IF(LOWER(TRIM($Z$14))="self_employed","☑","☐")</f>
        <v>☐</v>
      </c>
      <c r="B33" s="32" t="s">
        <v>111</v>
      </c>
      <c r="C33" s="23"/>
      <c r="D33" s="23"/>
      <c r="E33" s="24"/>
      <c r="F33" s="41" t="str">
        <f>IF(LOWER(TRIM($Z$15))="casual","☑","☐")</f>
        <v>☐</v>
      </c>
      <c r="G33" s="32" t="s">
        <v>112</v>
      </c>
      <c r="H33" s="23"/>
      <c r="I33" s="23"/>
      <c r="J33" s="23"/>
      <c r="K33" s="23"/>
      <c r="L33" s="24"/>
      <c r="M33" s="26" t="s">
        <v>113</v>
      </c>
      <c r="N33" s="15"/>
      <c r="O33" s="15"/>
      <c r="P33" s="15"/>
      <c r="Q33" s="16"/>
      <c r="R33" s="47" t="s">
        <v>114</v>
      </c>
      <c r="S33" s="48"/>
      <c r="T33" s="49"/>
      <c r="U33" s="3"/>
      <c r="V33" s="3"/>
      <c r="W33" s="3"/>
      <c r="X33" s="3"/>
      <c r="Y33" s="4"/>
    </row>
    <row r="34">
      <c r="A34" s="41"/>
      <c r="B34" s="23"/>
      <c r="C34" s="23"/>
      <c r="D34" s="23"/>
      <c r="E34" s="23"/>
      <c r="F34" s="41" t="str">
        <f>IF(LOWER(TRIM($Z$15))="emergency","☑","☐")</f>
        <v>☐</v>
      </c>
      <c r="G34" s="32" t="s">
        <v>115</v>
      </c>
      <c r="H34" s="23"/>
      <c r="I34" s="23"/>
      <c r="J34" s="23"/>
      <c r="K34" s="23"/>
      <c r="L34" s="24"/>
      <c r="M34" s="26" t="s">
        <v>116</v>
      </c>
      <c r="N34" s="15"/>
      <c r="O34" s="15"/>
      <c r="P34" s="15"/>
      <c r="Q34" s="16"/>
      <c r="R34" s="26" t="s">
        <v>117</v>
      </c>
      <c r="S34" s="16"/>
      <c r="T34" s="23"/>
      <c r="U34" s="23"/>
      <c r="V34" s="23"/>
      <c r="W34" s="23"/>
      <c r="X34" s="23"/>
      <c r="Y34" s="24"/>
    </row>
    <row r="35">
      <c r="A35" s="31" t="s">
        <v>118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4"/>
      <c r="M35" s="45" t="s">
        <v>119</v>
      </c>
      <c r="Y35" s="6"/>
    </row>
    <row r="36">
      <c r="A36" s="21" t="s">
        <v>120</v>
      </c>
      <c r="B36" s="15"/>
      <c r="C36" s="15"/>
      <c r="D36" s="16"/>
      <c r="E36" s="28" t="s">
        <v>121</v>
      </c>
      <c r="F36" s="23"/>
      <c r="G36" s="23"/>
      <c r="H36" s="23"/>
      <c r="I36" s="23"/>
      <c r="J36" s="23"/>
      <c r="K36" s="23"/>
      <c r="L36" s="24"/>
      <c r="M36" s="40"/>
      <c r="N36" s="15"/>
      <c r="O36" s="15"/>
      <c r="P36" s="16"/>
      <c r="Q36" s="50" t="s">
        <v>122</v>
      </c>
      <c r="R36" s="16"/>
      <c r="S36" s="50" t="s">
        <v>123</v>
      </c>
      <c r="T36" s="15"/>
      <c r="U36" s="15"/>
      <c r="V36" s="15"/>
      <c r="W36" s="16"/>
      <c r="X36" s="50" t="s">
        <v>124</v>
      </c>
      <c r="Y36" s="16"/>
    </row>
    <row r="37">
      <c r="A37" s="29" t="s">
        <v>125</v>
      </c>
      <c r="B37" s="23"/>
      <c r="C37" s="23"/>
      <c r="D37" s="24"/>
      <c r="E37" s="32" t="s">
        <v>126</v>
      </c>
      <c r="F37" s="23"/>
      <c r="G37" s="23"/>
      <c r="H37" s="23"/>
      <c r="I37" s="23"/>
      <c r="J37" s="23"/>
      <c r="K37" s="23"/>
      <c r="L37" s="24"/>
      <c r="M37" s="33" t="s">
        <v>127</v>
      </c>
      <c r="N37" s="3"/>
      <c r="O37" s="3"/>
      <c r="P37" s="4"/>
      <c r="Q37" s="47" t="s">
        <v>128</v>
      </c>
      <c r="R37" s="6"/>
      <c r="S37" s="33" t="s">
        <v>129</v>
      </c>
      <c r="T37" s="3"/>
      <c r="U37" s="3"/>
      <c r="V37" s="3"/>
      <c r="W37" s="4"/>
      <c r="X37" s="33" t="s">
        <v>130</v>
      </c>
      <c r="Y37" s="4"/>
    </row>
    <row r="38">
      <c r="A38" s="29" t="s">
        <v>131</v>
      </c>
      <c r="B38" s="23"/>
      <c r="C38" s="23"/>
      <c r="D38" s="24"/>
      <c r="E38" s="32" t="s">
        <v>132</v>
      </c>
      <c r="F38" s="23"/>
      <c r="G38" s="23"/>
      <c r="H38" s="23"/>
      <c r="I38" s="23"/>
      <c r="J38" s="23"/>
      <c r="K38" s="23"/>
      <c r="L38" s="24"/>
      <c r="M38" s="35"/>
      <c r="N38" s="23"/>
      <c r="O38" s="23"/>
      <c r="P38" s="24"/>
      <c r="Q38" s="23"/>
      <c r="R38" s="24"/>
      <c r="S38" s="35"/>
      <c r="T38" s="23"/>
      <c r="U38" s="23"/>
      <c r="V38" s="23"/>
      <c r="W38" s="24"/>
      <c r="X38" s="35"/>
      <c r="Y38" s="24"/>
    </row>
    <row r="39">
      <c r="A39" s="29" t="s">
        <v>133</v>
      </c>
      <c r="B39" s="23"/>
      <c r="C39" s="23"/>
      <c r="D39" s="24"/>
      <c r="E39" s="32" t="s">
        <v>134</v>
      </c>
      <c r="F39" s="23"/>
      <c r="G39" s="23"/>
      <c r="H39" s="23"/>
      <c r="I39" s="23"/>
      <c r="J39" s="23"/>
      <c r="K39" s="23"/>
      <c r="L39" s="24"/>
      <c r="M39" s="33" t="s">
        <v>135</v>
      </c>
      <c r="N39" s="3"/>
      <c r="O39" s="3"/>
      <c r="P39" s="4"/>
      <c r="Q39" s="33" t="s">
        <v>136</v>
      </c>
      <c r="R39" s="4"/>
      <c r="S39" s="33" t="s">
        <v>137</v>
      </c>
      <c r="T39" s="3"/>
      <c r="U39" s="3"/>
      <c r="V39" s="3"/>
      <c r="W39" s="4"/>
      <c r="X39" s="33" t="s">
        <v>138</v>
      </c>
      <c r="Y39" s="4"/>
    </row>
    <row r="40">
      <c r="A40" s="29" t="s">
        <v>139</v>
      </c>
      <c r="B40" s="23"/>
      <c r="C40" s="23"/>
      <c r="D40" s="24"/>
      <c r="E40" s="32" t="s">
        <v>140</v>
      </c>
      <c r="F40" s="23"/>
      <c r="G40" s="23"/>
      <c r="H40" s="23"/>
      <c r="I40" s="23"/>
      <c r="J40" s="23"/>
      <c r="K40" s="23"/>
      <c r="L40" s="24"/>
      <c r="M40" s="35"/>
      <c r="N40" s="23"/>
      <c r="O40" s="23"/>
      <c r="P40" s="24"/>
      <c r="Q40" s="35"/>
      <c r="R40" s="24"/>
      <c r="S40" s="35"/>
      <c r="T40" s="23"/>
      <c r="U40" s="23"/>
      <c r="V40" s="23"/>
      <c r="W40" s="24"/>
      <c r="X40" s="35"/>
      <c r="Y40" s="24"/>
    </row>
    <row r="41">
      <c r="A41" s="31" t="s">
        <v>141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4"/>
      <c r="M41" s="31" t="s">
        <v>142</v>
      </c>
      <c r="N41" s="3"/>
      <c r="O41" s="3"/>
      <c r="P41" s="3"/>
      <c r="Q41" s="4"/>
      <c r="R41" s="33" t="s">
        <v>143</v>
      </c>
      <c r="S41" s="3"/>
      <c r="T41" s="3"/>
      <c r="U41" s="3"/>
      <c r="V41" s="3"/>
      <c r="W41" s="3"/>
      <c r="X41" s="3"/>
      <c r="Y41" s="4"/>
    </row>
    <row r="42">
      <c r="A42" s="40" t="str">
        <f>IF(LOWER(TRIM($Z$17))="applicant","☑","☐")</f>
        <v>☐</v>
      </c>
      <c r="B42" s="26" t="s">
        <v>144</v>
      </c>
      <c r="C42" s="15"/>
      <c r="D42" s="15"/>
      <c r="E42" s="15"/>
      <c r="F42" s="15"/>
      <c r="G42" s="15"/>
      <c r="H42" s="15"/>
      <c r="I42" s="15"/>
      <c r="J42" s="15"/>
      <c r="K42" s="15"/>
      <c r="L42" s="16"/>
      <c r="M42" s="35"/>
      <c r="N42" s="23"/>
      <c r="O42" s="23"/>
      <c r="P42" s="23"/>
      <c r="Q42" s="24"/>
      <c r="R42" s="35"/>
      <c r="S42" s="23"/>
      <c r="T42" s="23"/>
      <c r="U42" s="23"/>
      <c r="V42" s="23"/>
      <c r="W42" s="23"/>
      <c r="X42" s="23"/>
      <c r="Y42" s="24"/>
    </row>
    <row r="43">
      <c r="A43" s="42" t="str">
        <f>IF(LOWER(TRIM($Z$17))="guardian","☑","☐")</f>
        <v>☐</v>
      </c>
      <c r="B43" s="12" t="s">
        <v>145</v>
      </c>
      <c r="L43" s="6"/>
      <c r="M43" s="33" t="s">
        <v>146</v>
      </c>
      <c r="N43" s="3"/>
      <c r="O43" s="3"/>
      <c r="P43" s="3"/>
      <c r="Q43" s="4"/>
      <c r="R43" s="51" t="s">
        <v>147</v>
      </c>
      <c r="Y43" s="6"/>
    </row>
    <row r="44">
      <c r="A44" s="40" t="str">
        <f>IF(LOWER(TRIM($Z$17))="representative","☑","☐")</f>
        <v>☐</v>
      </c>
      <c r="B44" s="26" t="s">
        <v>148</v>
      </c>
      <c r="C44" s="15"/>
      <c r="D44" s="15"/>
      <c r="E44" s="15"/>
      <c r="F44" s="15"/>
      <c r="G44" s="15"/>
      <c r="H44" s="15"/>
      <c r="I44" s="15"/>
      <c r="J44" s="15"/>
      <c r="K44" s="15"/>
      <c r="L44" s="16"/>
      <c r="M44" s="35"/>
      <c r="N44" s="23"/>
      <c r="O44" s="23"/>
      <c r="P44" s="23"/>
      <c r="Q44" s="24"/>
      <c r="R44" s="35"/>
      <c r="S44" s="23"/>
      <c r="T44" s="23"/>
      <c r="U44" s="23"/>
      <c r="V44" s="23"/>
      <c r="W44" s="23"/>
      <c r="X44" s="23"/>
      <c r="Y44" s="24"/>
    </row>
    <row r="45">
      <c r="A45" s="20" t="s">
        <v>149</v>
      </c>
      <c r="B45" s="15"/>
      <c r="C45" s="15"/>
      <c r="D45" s="16"/>
      <c r="E45" s="21" t="s">
        <v>150</v>
      </c>
      <c r="F45" s="15"/>
      <c r="G45" s="15"/>
      <c r="H45" s="15"/>
      <c r="I45" s="15"/>
      <c r="J45" s="15"/>
      <c r="K45" s="15"/>
      <c r="L45" s="16"/>
      <c r="M45" s="20" t="s">
        <v>151</v>
      </c>
      <c r="N45" s="15"/>
      <c r="O45" s="15"/>
      <c r="P45" s="15"/>
      <c r="Q45" s="15"/>
      <c r="R45" s="16"/>
      <c r="S45" s="21" t="s">
        <v>152</v>
      </c>
      <c r="T45" s="15"/>
      <c r="U45" s="15"/>
      <c r="V45" s="15"/>
      <c r="W45" s="15"/>
      <c r="X45" s="15"/>
      <c r="Y45" s="16"/>
    </row>
    <row r="46">
      <c r="A46" s="20" t="s">
        <v>153</v>
      </c>
      <c r="B46" s="15"/>
      <c r="C46" s="15"/>
      <c r="D46" s="16"/>
      <c r="E46" s="21" t="s">
        <v>154</v>
      </c>
      <c r="F46" s="15"/>
      <c r="G46" s="15"/>
      <c r="H46" s="15"/>
      <c r="I46" s="15"/>
      <c r="J46" s="15"/>
      <c r="K46" s="15"/>
      <c r="L46" s="16"/>
      <c r="M46" s="20" t="s">
        <v>155</v>
      </c>
      <c r="N46" s="15"/>
      <c r="O46" s="15"/>
      <c r="P46" s="15"/>
      <c r="Q46" s="15"/>
      <c r="R46" s="16"/>
      <c r="S46" s="21" t="s">
        <v>156</v>
      </c>
      <c r="T46" s="15"/>
      <c r="U46" s="15"/>
      <c r="V46" s="15"/>
      <c r="W46" s="15"/>
      <c r="X46" s="15"/>
      <c r="Y46" s="16"/>
    </row>
    <row r="47">
      <c r="A47" s="20" t="s">
        <v>157</v>
      </c>
      <c r="B47" s="15"/>
      <c r="C47" s="15"/>
      <c r="D47" s="16"/>
      <c r="E47" s="21" t="s">
        <v>158</v>
      </c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6"/>
    </row>
    <row r="53">
      <c r="A53" s="13"/>
      <c r="F53" s="13"/>
      <c r="G53" s="13"/>
      <c r="H53" s="13"/>
      <c r="I53" s="13"/>
      <c r="J53" s="13"/>
      <c r="K53" s="13"/>
      <c r="L53" s="13"/>
    </row>
    <row r="54">
      <c r="A54" s="13"/>
    </row>
    <row r="55">
      <c r="A55" s="13"/>
    </row>
    <row r="56">
      <c r="A56" s="13"/>
    </row>
  </sheetData>
  <mergeCells count="170">
    <mergeCell ref="G15:L15"/>
    <mergeCell ref="G16:L16"/>
    <mergeCell ref="O15:S16"/>
    <mergeCell ref="M15:N16"/>
    <mergeCell ref="T15:U16"/>
    <mergeCell ref="V15:Y16"/>
    <mergeCell ref="D12:N12"/>
    <mergeCell ref="A13:N13"/>
    <mergeCell ref="A14:L14"/>
    <mergeCell ref="M14:Y14"/>
    <mergeCell ref="B15:E15"/>
    <mergeCell ref="T13:V13"/>
    <mergeCell ref="W13:Y13"/>
    <mergeCell ref="B16:E16"/>
    <mergeCell ref="A35:L35"/>
    <mergeCell ref="M35:Y35"/>
    <mergeCell ref="E36:L36"/>
    <mergeCell ref="M36:P36"/>
    <mergeCell ref="Q36:R36"/>
    <mergeCell ref="S36:W36"/>
    <mergeCell ref="X36:Y36"/>
    <mergeCell ref="A36:D36"/>
    <mergeCell ref="A37:D37"/>
    <mergeCell ref="E37:L37"/>
    <mergeCell ref="A38:D38"/>
    <mergeCell ref="M37:P38"/>
    <mergeCell ref="Q37:R38"/>
    <mergeCell ref="S37:W38"/>
    <mergeCell ref="X37:Y38"/>
    <mergeCell ref="E38:L38"/>
    <mergeCell ref="E39:L39"/>
    <mergeCell ref="M39:P40"/>
    <mergeCell ref="Q39:R40"/>
    <mergeCell ref="S39:W40"/>
    <mergeCell ref="X39:Y40"/>
    <mergeCell ref="A39:D39"/>
    <mergeCell ref="A40:D40"/>
    <mergeCell ref="E40:L40"/>
    <mergeCell ref="A41:L41"/>
    <mergeCell ref="M41:Q42"/>
    <mergeCell ref="R41:Y42"/>
    <mergeCell ref="B42:L42"/>
    <mergeCell ref="B43:L43"/>
    <mergeCell ref="M43:Q44"/>
    <mergeCell ref="R43:Y44"/>
    <mergeCell ref="B44:L44"/>
    <mergeCell ref="M46:R46"/>
    <mergeCell ref="S46:Y46"/>
    <mergeCell ref="A45:D45"/>
    <mergeCell ref="E45:L45"/>
    <mergeCell ref="M45:R45"/>
    <mergeCell ref="S45:Y45"/>
    <mergeCell ref="A46:D46"/>
    <mergeCell ref="E46:L46"/>
    <mergeCell ref="T10:U10"/>
    <mergeCell ref="W10:Y10"/>
    <mergeCell ref="T12:Y12"/>
    <mergeCell ref="M19:N19"/>
    <mergeCell ref="O17:S18"/>
    <mergeCell ref="M17:N18"/>
    <mergeCell ref="T17:U18"/>
    <mergeCell ref="V17:Y18"/>
    <mergeCell ref="T19:U19"/>
    <mergeCell ref="V19:Y19"/>
    <mergeCell ref="A1:Y1"/>
    <mergeCell ref="A2:Y2"/>
    <mergeCell ref="A3:Y3"/>
    <mergeCell ref="A4:Y5"/>
    <mergeCell ref="A6:Y6"/>
    <mergeCell ref="L7:M7"/>
    <mergeCell ref="N7:Y7"/>
    <mergeCell ref="J10:N10"/>
    <mergeCell ref="O10:R10"/>
    <mergeCell ref="J11:N11"/>
    <mergeCell ref="O11:Y11"/>
    <mergeCell ref="C7:K7"/>
    <mergeCell ref="A8:D8"/>
    <mergeCell ref="E8:K8"/>
    <mergeCell ref="L8:O8"/>
    <mergeCell ref="P8:Y8"/>
    <mergeCell ref="A9:Y9"/>
    <mergeCell ref="A10:C10"/>
    <mergeCell ref="D10:F10"/>
    <mergeCell ref="G10:I10"/>
    <mergeCell ref="A11:C11"/>
    <mergeCell ref="D11:F11"/>
    <mergeCell ref="G11:I11"/>
    <mergeCell ref="A12:C12"/>
    <mergeCell ref="P12:R12"/>
    <mergeCell ref="D56:L56"/>
    <mergeCell ref="A57:L57"/>
    <mergeCell ref="A47:D47"/>
    <mergeCell ref="E47:Y47"/>
    <mergeCell ref="B53:E53"/>
    <mergeCell ref="B54:E54"/>
    <mergeCell ref="A55:C55"/>
    <mergeCell ref="D55:L55"/>
    <mergeCell ref="A56:C56"/>
    <mergeCell ref="U26:Y27"/>
    <mergeCell ref="T26:T27"/>
    <mergeCell ref="B28:E29"/>
    <mergeCell ref="A28:A29"/>
    <mergeCell ref="G28:L29"/>
    <mergeCell ref="F28:F29"/>
    <mergeCell ref="B25:E25"/>
    <mergeCell ref="T28:T29"/>
    <mergeCell ref="U28:Y29"/>
    <mergeCell ref="B18:E18"/>
    <mergeCell ref="B19:E19"/>
    <mergeCell ref="G19:L19"/>
    <mergeCell ref="O19:S19"/>
    <mergeCell ref="A20:L20"/>
    <mergeCell ref="M20:Y20"/>
    <mergeCell ref="D21:F21"/>
    <mergeCell ref="G21:I21"/>
    <mergeCell ref="J21:L21"/>
    <mergeCell ref="M21:P21"/>
    <mergeCell ref="Q21:S21"/>
    <mergeCell ref="T21:W21"/>
    <mergeCell ref="X21:Y21"/>
    <mergeCell ref="A22:C22"/>
    <mergeCell ref="D22:F22"/>
    <mergeCell ref="G22:I22"/>
    <mergeCell ref="J22:L22"/>
    <mergeCell ref="M22:P22"/>
    <mergeCell ref="Q22:S22"/>
    <mergeCell ref="T22:Y22"/>
    <mergeCell ref="A23:C23"/>
    <mergeCell ref="D23:F23"/>
    <mergeCell ref="G23:L23"/>
    <mergeCell ref="M23:Y23"/>
    <mergeCell ref="A24:L24"/>
    <mergeCell ref="N24:S24"/>
    <mergeCell ref="U24:Y24"/>
    <mergeCell ref="G25:L25"/>
    <mergeCell ref="N25:S25"/>
    <mergeCell ref="U25:Y25"/>
    <mergeCell ref="G26:L26"/>
    <mergeCell ref="N26:S26"/>
    <mergeCell ref="B26:E26"/>
    <mergeCell ref="B27:E27"/>
    <mergeCell ref="G27:L27"/>
    <mergeCell ref="N27:S27"/>
    <mergeCell ref="M30:S30"/>
    <mergeCell ref="T30:Y30"/>
    <mergeCell ref="N28:S28"/>
    <mergeCell ref="N29:S29"/>
    <mergeCell ref="A30:E30"/>
    <mergeCell ref="F30:L30"/>
    <mergeCell ref="M32:Q32"/>
    <mergeCell ref="R32:S32"/>
    <mergeCell ref="B31:E31"/>
    <mergeCell ref="G31:L31"/>
    <mergeCell ref="M31:Q31"/>
    <mergeCell ref="R31:S31"/>
    <mergeCell ref="U31:Y31"/>
    <mergeCell ref="G32:L32"/>
    <mergeCell ref="U32:Y32"/>
    <mergeCell ref="M34:Q34"/>
    <mergeCell ref="R34:S34"/>
    <mergeCell ref="B32:E32"/>
    <mergeCell ref="B33:E33"/>
    <mergeCell ref="G33:L33"/>
    <mergeCell ref="M33:Q33"/>
    <mergeCell ref="T33:Y34"/>
    <mergeCell ref="A34:E34"/>
    <mergeCell ref="G34:L34"/>
    <mergeCell ref="B17:E17"/>
    <mergeCell ref="G17:L17"/>
    <mergeCell ref="G18:L1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2026-02-26T14:11:37Z</dcterms:created>
  <dc:creator>PDAO-Iren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2019-02-14T00:00:00Z</vt:filetime>
  </property>
  <property fmtid="{D5CDD505-2E9C-101B-9397-08002B2CF9AE}" pid="3" name="Creator">
    <vt:lpwstr>Microsoft® Excel® 2010</vt:lpwstr>
  </property>
  <property fmtid="{D5CDD505-2E9C-101B-9397-08002B2CF9AE}" pid="4" name="LastSaved">
    <vt:filetime>2026-02-26T00:00:00Z</vt:filetime>
  </property>
  <property fmtid="{D5CDD505-2E9C-101B-9397-08002B2CF9AE}" pid="5" name="Producer">
    <vt:lpwstr>Microsoft® Excel® 2010</vt:lpwstr>
  </property>
</Properties>
</file>